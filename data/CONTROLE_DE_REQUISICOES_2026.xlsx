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C628CB1B-FC4D-4A0C-A771-83D09FDBCF89}" xr6:coauthVersionLast="47" xr6:coauthVersionMax="47" xr10:uidLastSave="{00000000-0000-0000-0000-000000000000}"/>
  <bookViews>
    <workbookView xWindow="2868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196" i="1" l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Q2187" i="1" a="1"/>
  <c r="Q2187" i="1" s="1"/>
  <c r="I2187" i="1"/>
  <c r="D2187" i="1"/>
  <c r="Q2186" i="1" a="1"/>
  <c r="Q2186" i="1" s="1"/>
  <c r="I2186" i="1"/>
  <c r="D2186" i="1"/>
  <c r="D2185" i="1"/>
  <c r="I2185" i="1"/>
  <c r="Q2185" i="1" a="1"/>
  <c r="Q2185" i="1"/>
  <c r="D2184" i="1"/>
  <c r="I2184" i="1"/>
  <c r="Q2184" i="1" a="1"/>
  <c r="Q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Q2177" i="1" a="1"/>
  <c r="Q2177" i="1" s="1"/>
  <c r="I2177" i="1"/>
  <c r="D2177" i="1"/>
  <c r="Q2176" i="1" a="1"/>
  <c r="Q2176" i="1" s="1"/>
  <c r="I2176" i="1"/>
  <c r="D2176" i="1"/>
  <c r="D2175" i="1"/>
  <c r="I2175" i="1"/>
  <c r="Q2175" i="1" a="1"/>
  <c r="Q2175" i="1"/>
  <c r="D2174" i="1"/>
  <c r="I2174" i="1"/>
  <c r="Q2174" i="1" a="1"/>
  <c r="Q2174" i="1"/>
  <c r="Q2173" i="1" a="1"/>
  <c r="Q2173" i="1" s="1"/>
  <c r="I2173" i="1"/>
  <c r="D2173" i="1"/>
  <c r="D2172" i="1"/>
  <c r="I2172" i="1"/>
  <c r="Q2172" i="1" a="1"/>
  <c r="Q2172" i="1"/>
  <c r="D2171" i="1"/>
  <c r="I2171" i="1"/>
  <c r="Q2171" i="1" a="1"/>
  <c r="Q2171" i="1"/>
  <c r="D2170" i="1"/>
  <c r="I2170" i="1"/>
  <c r="Q2170" i="1" a="1"/>
  <c r="Q2170" i="1"/>
  <c r="Q2169" i="1" a="1"/>
  <c r="Q2169" i="1" s="1"/>
  <c r="I2169" i="1"/>
  <c r="D2169" i="1"/>
  <c r="Q2168" i="1" a="1"/>
  <c r="Q2168" i="1" s="1"/>
  <c r="I2168" i="1"/>
  <c r="D2168" i="1"/>
  <c r="Q2167" i="1" a="1"/>
  <c r="Q2167" i="1" s="1"/>
  <c r="I2167" i="1"/>
  <c r="D2167" i="1"/>
  <c r="Q2166" i="1" a="1"/>
  <c r="Q2166" i="1" s="1"/>
  <c r="I2166" i="1"/>
  <c r="D2166" i="1"/>
  <c r="Q2165" i="1" a="1"/>
  <c r="Q2165" i="1" s="1"/>
  <c r="I2165" i="1"/>
  <c r="D2165" i="1"/>
  <c r="Q2164" i="1" a="1"/>
  <c r="Q2164" i="1" s="1"/>
  <c r="I2164" i="1"/>
  <c r="D2164" i="1"/>
  <c r="D2163" i="1"/>
  <c r="I2163" i="1"/>
  <c r="Q2163" i="1" a="1"/>
  <c r="Q2163" i="1"/>
  <c r="Q2162" i="1" a="1"/>
  <c r="Q2162" i="1" s="1"/>
  <c r="I2162" i="1"/>
  <c r="D2162" i="1"/>
  <c r="D2161" i="1"/>
  <c r="I2161" i="1"/>
  <c r="Q2161" i="1" a="1"/>
  <c r="Q2161" i="1" s="1"/>
  <c r="D2160" i="1"/>
  <c r="I2160" i="1"/>
  <c r="Q2160" i="1" a="1"/>
  <c r="Q2160" i="1" s="1"/>
  <c r="Q2159" i="1" a="1"/>
  <c r="Q2159" i="1" s="1"/>
  <c r="I2159" i="1"/>
  <c r="D2159" i="1"/>
  <c r="Q2158" i="1" a="1"/>
  <c r="Q2158" i="1" s="1"/>
  <c r="I2158" i="1"/>
  <c r="D2158" i="1"/>
  <c r="Q2157" i="1" a="1"/>
  <c r="Q2157" i="1" s="1"/>
  <c r="I2157" i="1"/>
  <c r="D2157" i="1"/>
  <c r="D2156" i="1"/>
  <c r="I2156" i="1"/>
  <c r="Q2156" i="1" a="1"/>
  <c r="Q2156" i="1"/>
  <c r="Q2155" i="1" a="1"/>
  <c r="Q2155" i="1" s="1"/>
  <c r="I2155" i="1"/>
  <c r="D2155" i="1"/>
  <c r="D2154" i="1"/>
  <c r="I2154" i="1"/>
  <c r="Q2154" i="1" a="1"/>
  <c r="Q2154" i="1" s="1"/>
  <c r="Q2153" i="1" a="1"/>
  <c r="Q2153" i="1" s="1"/>
  <c r="I2153" i="1"/>
  <c r="D2153" i="1"/>
  <c r="D2152" i="1"/>
  <c r="I2152" i="1"/>
  <c r="Q2152" i="1" a="1"/>
  <c r="Q2152" i="1" s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147" i="1"/>
  <c r="I2147" i="1"/>
  <c r="Q2147" i="1" a="1"/>
  <c r="Q2147" i="1"/>
  <c r="Q1991" i="1" a="1"/>
  <c r="Q1991" i="1" s="1"/>
  <c r="Q1992" i="1" a="1"/>
  <c r="Q1992" i="1" s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D2142" i="1"/>
  <c r="I2142" i="1"/>
  <c r="Q2142" i="1" a="1"/>
  <c r="Q2142" i="1" s="1"/>
  <c r="D2116" i="1"/>
  <c r="I2116" i="1"/>
  <c r="Q2116" i="1" a="1"/>
  <c r="Q2116" i="1" s="1"/>
  <c r="D2120" i="1"/>
  <c r="I2120" i="1"/>
  <c r="Q2120" i="1" a="1"/>
  <c r="Q2120" i="1"/>
  <c r="D2119" i="1"/>
  <c r="I2119" i="1"/>
  <c r="Q2119" i="1" a="1"/>
  <c r="Q2119" i="1" s="1"/>
  <c r="Q1956" i="1" a="1"/>
  <c r="Q1956" i="1" s="1"/>
  <c r="I1956" i="1"/>
  <c r="D1956" i="1"/>
  <c r="D2141" i="1"/>
  <c r="I2141" i="1"/>
  <c r="Q2141" i="1" a="1"/>
  <c r="Q2141" i="1" s="1"/>
  <c r="I769" i="1"/>
  <c r="Q2140" i="1" a="1"/>
  <c r="Q2140" i="1" s="1"/>
  <c r="I2140" i="1"/>
  <c r="D2140" i="1"/>
  <c r="Q2139" i="1" a="1"/>
  <c r="Q2139" i="1" s="1"/>
  <c r="I2139" i="1"/>
  <c r="D2139" i="1"/>
  <c r="Q2138" i="1" a="1"/>
  <c r="Q2138" i="1" s="1"/>
  <c r="I2138" i="1"/>
  <c r="D2138" i="1"/>
  <c r="Q2137" i="1" a="1"/>
  <c r="Q2137" i="1" s="1"/>
  <c r="I2137" i="1"/>
  <c r="D2137" i="1"/>
  <c r="Q2136" i="1" a="1"/>
  <c r="Q2136" i="1" s="1"/>
  <c r="I2136" i="1"/>
  <c r="D2136" i="1"/>
  <c r="Q2135" i="1" a="1"/>
  <c r="Q2135" i="1" s="1"/>
  <c r="I2135" i="1"/>
  <c r="D2135" i="1"/>
  <c r="Q2134" i="1" a="1"/>
  <c r="Q2134" i="1" s="1"/>
  <c r="I2134" i="1"/>
  <c r="D2134" i="1"/>
  <c r="Q2133" i="1" a="1"/>
  <c r="Q2133" i="1" s="1"/>
  <c r="I2133" i="1"/>
  <c r="D2133" i="1"/>
  <c r="D2118" i="1"/>
  <c r="I2118" i="1"/>
  <c r="Q2118" i="1" a="1"/>
  <c r="Q2118" i="1" s="1"/>
  <c r="Q2117" i="1" a="1"/>
  <c r="Q2117" i="1" s="1"/>
  <c r="I2117" i="1"/>
  <c r="D2117" i="1"/>
  <c r="Q2052" i="1" a="1"/>
  <c r="Q2052" i="1" s="1"/>
  <c r="I2052" i="1"/>
  <c r="D2052" i="1"/>
  <c r="Q2132" i="1" a="1"/>
  <c r="Q2132" i="1" s="1"/>
  <c r="I2132" i="1"/>
  <c r="D2132" i="1"/>
  <c r="D2130" i="1"/>
  <c r="I2130" i="1"/>
  <c r="Q2130" i="1" a="1"/>
  <c r="Q2130" i="1" s="1"/>
  <c r="D2129" i="1"/>
  <c r="I2129" i="1"/>
  <c r="Q2129" i="1" a="1"/>
  <c r="Q2129" i="1" s="1"/>
  <c r="D2127" i="1"/>
  <c r="I2127" i="1"/>
  <c r="Q2127" i="1" a="1"/>
  <c r="Q2127" i="1" s="1"/>
  <c r="D2128" i="1"/>
  <c r="I2128" i="1"/>
  <c r="Q2128" i="1" a="1"/>
  <c r="Q2128" i="1" s="1"/>
  <c r="Q2131" i="1" a="1"/>
  <c r="Q2131" i="1" s="1"/>
  <c r="I2131" i="1"/>
  <c r="D2131" i="1"/>
  <c r="D2126" i="1"/>
  <c r="I2126" i="1"/>
  <c r="Q2126" i="1" a="1"/>
  <c r="Q2126" i="1" s="1"/>
  <c r="D2125" i="1"/>
  <c r="I2125" i="1"/>
  <c r="Q2125" i="1" a="1"/>
  <c r="Q2125" i="1" s="1"/>
  <c r="Q2124" i="1" a="1"/>
  <c r="Q2124" i="1" s="1"/>
  <c r="I2124" i="1"/>
  <c r="D2124" i="1"/>
  <c r="Q2123" i="1" a="1"/>
  <c r="Q2123" i="1" s="1"/>
  <c r="I2123" i="1"/>
  <c r="D2123" i="1"/>
  <c r="Q2122" i="1" a="1"/>
  <c r="Q2122" i="1" s="1"/>
  <c r="I2122" i="1"/>
  <c r="D2122" i="1"/>
  <c r="D2121" i="1"/>
  <c r="I2121" i="1"/>
  <c r="Q2121" i="1" a="1"/>
  <c r="Q2121" i="1" s="1"/>
  <c r="D1954" i="1"/>
  <c r="I1954" i="1"/>
  <c r="Q1954" i="1" a="1"/>
  <c r="Q1954" i="1" s="1"/>
  <c r="D1953" i="1"/>
  <c r="I1953" i="1"/>
  <c r="Q1953" i="1" a="1"/>
  <c r="Q1953" i="1" s="1"/>
  <c r="D1952" i="1"/>
  <c r="I1952" i="1"/>
  <c r="Q1952" i="1" a="1"/>
  <c r="Q1952" i="1" s="1"/>
  <c r="Q2070" i="1" a="1"/>
  <c r="Q2070" i="1" s="1"/>
  <c r="I2070" i="1"/>
  <c r="D2070" i="1"/>
  <c r="D2057" i="1"/>
  <c r="I2057" i="1"/>
  <c r="Q2057" i="1" a="1"/>
  <c r="Q2057" i="1" s="1"/>
  <c r="D2027" i="1"/>
  <c r="I2027" i="1"/>
  <c r="Q2027" i="1" a="1"/>
  <c r="Q2027" i="1" s="1"/>
  <c r="D2017" i="1"/>
  <c r="I2017" i="1"/>
  <c r="Q2017" i="1" a="1"/>
  <c r="Q2017" i="1" s="1"/>
  <c r="Q2114" i="1" a="1"/>
  <c r="Q2114" i="1" s="1"/>
  <c r="I2114" i="1"/>
  <c r="D2114" i="1"/>
  <c r="D2113" i="1"/>
  <c r="I2113" i="1"/>
  <c r="Q2113" i="1" a="1"/>
  <c r="Q2113" i="1" s="1"/>
  <c r="Q2112" i="1" a="1"/>
  <c r="Q2112" i="1" s="1"/>
  <c r="I2112" i="1"/>
  <c r="D2112" i="1"/>
  <c r="Q2111" i="1" a="1"/>
  <c r="Q2111" i="1" s="1"/>
  <c r="I2111" i="1"/>
  <c r="D2111" i="1"/>
  <c r="Q2110" i="1" a="1"/>
  <c r="Q2110" i="1" s="1"/>
  <c r="I2110" i="1"/>
  <c r="D2110" i="1"/>
  <c r="Q2109" i="1" a="1"/>
  <c r="Q2109" i="1" s="1"/>
  <c r="I2109" i="1"/>
  <c r="D2109" i="1"/>
  <c r="Q2108" i="1" a="1"/>
  <c r="Q2108" i="1" s="1"/>
  <c r="I2108" i="1"/>
  <c r="D2108" i="1"/>
  <c r="Q2107" i="1" a="1"/>
  <c r="Q2107" i="1" s="1"/>
  <c r="I2107" i="1"/>
  <c r="D2107" i="1"/>
  <c r="D2106" i="1"/>
  <c r="I2106" i="1"/>
  <c r="Q2106" i="1" a="1"/>
  <c r="Q2106" i="1" s="1"/>
  <c r="D2105" i="1"/>
  <c r="I2105" i="1"/>
  <c r="Q2105" i="1" a="1"/>
  <c r="Q2105" i="1" s="1"/>
  <c r="Q2104" i="1" a="1"/>
  <c r="Q2104" i="1" s="1"/>
  <c r="I2104" i="1"/>
  <c r="D2104" i="1"/>
  <c r="D2103" i="1"/>
  <c r="I2103" i="1"/>
  <c r="Q2103" i="1" a="1"/>
  <c r="Q2103" i="1" s="1"/>
  <c r="D2102" i="1"/>
  <c r="I2102" i="1"/>
  <c r="Q2102" i="1" a="1"/>
  <c r="Q2102" i="1" s="1"/>
  <c r="Q2101" i="1" a="1"/>
  <c r="Q2101" i="1" s="1"/>
  <c r="I2101" i="1"/>
  <c r="D2101" i="1"/>
  <c r="Q2100" i="1" a="1"/>
  <c r="Q2100" i="1" s="1"/>
  <c r="I2100" i="1"/>
  <c r="D2100" i="1"/>
  <c r="D2093" i="1"/>
  <c r="I2093" i="1"/>
  <c r="Q2093" i="1" a="1"/>
  <c r="Q2093" i="1" s="1"/>
  <c r="D2097" i="1"/>
  <c r="I2097" i="1"/>
  <c r="Q2097" i="1" a="1"/>
  <c r="Q2097" i="1" s="1"/>
  <c r="D2115" i="1"/>
  <c r="D2091" i="1"/>
  <c r="D2087" i="1"/>
  <c r="D2090" i="1"/>
  <c r="D2094" i="1"/>
  <c r="D2095" i="1"/>
  <c r="D2092" i="1"/>
  <c r="D2096" i="1"/>
  <c r="I2115" i="1"/>
  <c r="I2091" i="1"/>
  <c r="I2087" i="1"/>
  <c r="I2090" i="1"/>
  <c r="I2094" i="1"/>
  <c r="I2095" i="1"/>
  <c r="I2092" i="1"/>
  <c r="I2096" i="1"/>
  <c r="Q2115" i="1" a="1"/>
  <c r="Q2115" i="1" s="1"/>
  <c r="Q2091" i="1" a="1"/>
  <c r="Q2091" i="1" s="1"/>
  <c r="Q2087" i="1" a="1"/>
  <c r="Q2087" i="1" s="1"/>
  <c r="Q2090" i="1" a="1"/>
  <c r="Q2090" i="1" s="1"/>
  <c r="Q2094" i="1" a="1"/>
  <c r="Q2094" i="1" s="1"/>
  <c r="Q2095" i="1" a="1"/>
  <c r="Q2095" i="1" s="1"/>
  <c r="Q2092" i="1" a="1"/>
  <c r="Q2092" i="1" s="1"/>
  <c r="Q2096" i="1" a="1"/>
  <c r="Q2096" i="1" s="1"/>
  <c r="D2089" i="1"/>
  <c r="I2089" i="1"/>
  <c r="Q2089" i="1" a="1"/>
  <c r="Q2089" i="1" s="1"/>
  <c r="Q2086" i="1" a="1"/>
  <c r="Q2086" i="1" s="1"/>
  <c r="I2086" i="1"/>
  <c r="D2086" i="1"/>
  <c r="Q2098" i="1" a="1"/>
  <c r="Q2098" i="1" s="1"/>
  <c r="I2098" i="1"/>
  <c r="D2098" i="1"/>
  <c r="Q1584" i="1" a="1"/>
  <c r="Q1584" i="1" s="1"/>
  <c r="I1584" i="1"/>
  <c r="D1584" i="1"/>
  <c r="Q1583" i="1" a="1"/>
  <c r="Q1583" i="1" s="1"/>
  <c r="I1583" i="1"/>
  <c r="D1583" i="1"/>
  <c r="Q1557" i="1" a="1"/>
  <c r="Q1557" i="1" s="1"/>
  <c r="I1557" i="1"/>
  <c r="D1557" i="1"/>
  <c r="Q2048" i="1" a="1"/>
  <c r="Q2048" i="1" s="1"/>
  <c r="I2048" i="1"/>
  <c r="D2048" i="1"/>
  <c r="Q2080" i="1" a="1"/>
  <c r="Q2080" i="1" s="1"/>
  <c r="I2080" i="1"/>
  <c r="D2080" i="1"/>
  <c r="Q2076" i="1" a="1"/>
  <c r="Q2076" i="1" s="1"/>
  <c r="I2076" i="1"/>
  <c r="D2076" i="1"/>
  <c r="D2072" i="1"/>
  <c r="D2073" i="1"/>
  <c r="D2074" i="1"/>
  <c r="D2075" i="1"/>
  <c r="D2099" i="1"/>
  <c r="D2078" i="1"/>
  <c r="D2079" i="1"/>
  <c r="I2072" i="1"/>
  <c r="I2073" i="1"/>
  <c r="I2074" i="1"/>
  <c r="I2075" i="1"/>
  <c r="I2099" i="1"/>
  <c r="I2078" i="1"/>
  <c r="I2079" i="1"/>
  <c r="Q2072" i="1" a="1"/>
  <c r="Q2072" i="1" s="1"/>
  <c r="Q2073" i="1" a="1"/>
  <c r="Q2073" i="1" s="1"/>
  <c r="Q2074" i="1" a="1"/>
  <c r="Q2074" i="1" s="1"/>
  <c r="Q2075" i="1" a="1"/>
  <c r="Q2075" i="1" s="1"/>
  <c r="Q2099" i="1" a="1"/>
  <c r="Q2099" i="1" s="1"/>
  <c r="Q2078" i="1" a="1"/>
  <c r="Q2078" i="1" s="1"/>
  <c r="Q2079" i="1" a="1"/>
  <c r="Q2079" i="1" s="1"/>
  <c r="D2071" i="1"/>
  <c r="I2071" i="1"/>
  <c r="Q2071" i="1" a="1"/>
  <c r="Q2071" i="1" s="1"/>
  <c r="Q2049" i="1" a="1"/>
  <c r="Q2049" i="1" s="1"/>
  <c r="I2049" i="1"/>
  <c r="D2049" i="1"/>
  <c r="Q1618" i="1" a="1"/>
  <c r="Q1618" i="1" s="1"/>
  <c r="I1618" i="1"/>
  <c r="D1618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Q2037" i="1" a="1"/>
  <c r="Q2037" i="1" s="1"/>
  <c r="I2037" i="1"/>
  <c r="D2037" i="1"/>
  <c r="D2028" i="1"/>
  <c r="I2028" i="1"/>
  <c r="Q2028" i="1" a="1"/>
  <c r="Q2028" i="1" s="1"/>
  <c r="Q2038" i="1" a="1"/>
  <c r="Q2038" i="1" s="1"/>
  <c r="I2038" i="1"/>
  <c r="D2038" i="1"/>
  <c r="Q1620" i="1" a="1"/>
  <c r="Q1620" i="1" s="1"/>
  <c r="I1620" i="1"/>
  <c r="D1620" i="1"/>
  <c r="Q2067" i="1" a="1"/>
  <c r="Q2067" i="1" s="1"/>
  <c r="I2067" i="1"/>
  <c r="D2067" i="1"/>
  <c r="I2066" i="1"/>
  <c r="Q2066" i="1" a="1"/>
  <c r="Q2066" i="1" s="1"/>
  <c r="D2066" i="1"/>
  <c r="D1588" i="1"/>
  <c r="I1588" i="1"/>
  <c r="Q1588" i="1" a="1"/>
  <c r="Q1588" i="1" s="1"/>
  <c r="Q2064" i="1" a="1"/>
  <c r="Q2064" i="1" s="1"/>
  <c r="I2064" i="1"/>
  <c r="D2064" i="1"/>
  <c r="Q2063" i="1" a="1"/>
  <c r="Q2063" i="1" s="1"/>
  <c r="I2063" i="1"/>
  <c r="D2063" i="1"/>
  <c r="Q2062" i="1" a="1"/>
  <c r="Q2062" i="1" s="1"/>
  <c r="I2062" i="1"/>
  <c r="D2062" i="1"/>
  <c r="Q1586" i="1" a="1"/>
  <c r="Q1586" i="1" s="1"/>
  <c r="I1586" i="1"/>
  <c r="D1586" i="1"/>
  <c r="Q1585" i="1" a="1"/>
  <c r="Q1585" i="1" s="1"/>
  <c r="I1585" i="1"/>
  <c r="D1585" i="1"/>
  <c r="Q2059" i="1" a="1"/>
  <c r="Q2059" i="1" s="1"/>
  <c r="I2059" i="1"/>
  <c r="D2059" i="1"/>
  <c r="Q2058" i="1" a="1"/>
  <c r="Q2058" i="1" s="1"/>
  <c r="I2058" i="1"/>
  <c r="D2058" i="1"/>
  <c r="Q2056" i="1" a="1"/>
  <c r="Q2056" i="1" s="1"/>
  <c r="I2056" i="1"/>
  <c r="D2056" i="1"/>
  <c r="Q2069" i="1" a="1"/>
  <c r="Q2069" i="1" s="1"/>
  <c r="I2069" i="1"/>
  <c r="D2069" i="1"/>
  <c r="D2060" i="1"/>
  <c r="I2060" i="1"/>
  <c r="Q2060" i="1" a="1"/>
  <c r="Q2060" i="1" s="1"/>
  <c r="D1957" i="1"/>
  <c r="I1957" i="1"/>
  <c r="Q1957" i="1" a="1"/>
  <c r="Q1957" i="1" s="1"/>
  <c r="D1988" i="1"/>
  <c r="I1988" i="1"/>
  <c r="Q1988" i="1" a="1"/>
  <c r="Q1988" i="1" s="1"/>
  <c r="D1987" i="1"/>
  <c r="I1987" i="1"/>
  <c r="Q1987" i="1" a="1"/>
  <c r="Q1987" i="1" s="1"/>
  <c r="D1985" i="1"/>
  <c r="I1985" i="1"/>
  <c r="Q1985" i="1" a="1"/>
  <c r="Q1985" i="1" s="1"/>
  <c r="Q2013" i="1" a="1"/>
  <c r="Q2013" i="1" s="1"/>
  <c r="I2013" i="1"/>
  <c r="D2013" i="1"/>
  <c r="D1984" i="1"/>
  <c r="I1984" i="1"/>
  <c r="Q1984" i="1" a="1"/>
  <c r="Q1984" i="1" s="1"/>
  <c r="D1986" i="1"/>
  <c r="I1986" i="1"/>
  <c r="Q1986" i="1" a="1"/>
  <c r="Q1986" i="1" s="1"/>
  <c r="Q1960" i="1" a="1"/>
  <c r="Q1960" i="1" s="1"/>
  <c r="I1960" i="1"/>
  <c r="D1960" i="1"/>
  <c r="Q1994" i="1" a="1"/>
  <c r="Q1994" i="1" s="1"/>
  <c r="I1994" i="1"/>
  <c r="D1994" i="1"/>
  <c r="D1903" i="1"/>
  <c r="I1903" i="1"/>
  <c r="Q1903" i="1" a="1"/>
  <c r="Q1903" i="1" s="1"/>
  <c r="Q1916" i="1" a="1"/>
  <c r="Q1916" i="1" s="1"/>
  <c r="I1916" i="1"/>
  <c r="D1916" i="1"/>
  <c r="Q1905" i="1" a="1"/>
  <c r="Q1905" i="1" s="1"/>
  <c r="I1905" i="1"/>
  <c r="D1905" i="1"/>
  <c r="D1904" i="1"/>
  <c r="I1904" i="1"/>
  <c r="Q1904" i="1" a="1"/>
  <c r="Q1904" i="1" s="1"/>
  <c r="D1921" i="1"/>
  <c r="I1921" i="1"/>
  <c r="Q1921" i="1" a="1"/>
  <c r="Q1921" i="1" s="1"/>
  <c r="D1920" i="1"/>
  <c r="I1920" i="1"/>
  <c r="Q1920" i="1" a="1"/>
  <c r="Q1920" i="1" s="1"/>
  <c r="D1919" i="1"/>
  <c r="I1919" i="1"/>
  <c r="Q1919" i="1" a="1"/>
  <c r="Q1919" i="1" s="1"/>
  <c r="D1955" i="1"/>
  <c r="I1955" i="1"/>
  <c r="Q1955" i="1" a="1"/>
  <c r="Q1955" i="1" s="1"/>
  <c r="D1974" i="1"/>
  <c r="I1974" i="1"/>
  <c r="Q1974" i="1" a="1"/>
  <c r="Q1974" i="1" s="1"/>
  <c r="Q1807" i="1" a="1"/>
  <c r="Q1807" i="1" s="1"/>
  <c r="I1807" i="1"/>
  <c r="D1807" i="1"/>
  <c r="Q1804" i="1" a="1"/>
  <c r="Q1804" i="1" s="1"/>
  <c r="I1804" i="1"/>
  <c r="D1804" i="1"/>
  <c r="Q1772" i="1" a="1"/>
  <c r="Q1772" i="1" s="1"/>
  <c r="I1772" i="1"/>
  <c r="D1772" i="1"/>
  <c r="D1766" i="1"/>
  <c r="I1766" i="1"/>
  <c r="Q1766" i="1" a="1"/>
  <c r="Q1766" i="1" s="1"/>
  <c r="Q1760" i="1" a="1"/>
  <c r="Q1760" i="1" s="1"/>
  <c r="I1760" i="1"/>
  <c r="D1760" i="1"/>
  <c r="D1753" i="1"/>
  <c r="I1753" i="1"/>
  <c r="Q1753" i="1" a="1"/>
  <c r="Q1753" i="1" s="1"/>
  <c r="D1748" i="1"/>
  <c r="I1748" i="1"/>
  <c r="Q1748" i="1" a="1"/>
  <c r="Q1748" i="1" s="1"/>
  <c r="Q1746" i="1" a="1"/>
  <c r="Q1746" i="1" s="1"/>
  <c r="I1746" i="1"/>
  <c r="D1746" i="1"/>
  <c r="D1733" i="1"/>
  <c r="I1733" i="1"/>
  <c r="Q1733" i="1" a="1"/>
  <c r="Q1733" i="1" s="1"/>
  <c r="D1722" i="1"/>
  <c r="I1722" i="1"/>
  <c r="Q1722" i="1" a="1"/>
  <c r="Q1722" i="1" s="1"/>
  <c r="D1654" i="1"/>
  <c r="I1654" i="1"/>
  <c r="Q1654" i="1" a="1"/>
  <c r="Q1654" i="1" s="1"/>
  <c r="D1653" i="1"/>
  <c r="I1653" i="1"/>
  <c r="Q1653" i="1" a="1"/>
  <c r="Q1653" i="1" s="1"/>
  <c r="Q1640" i="1" a="1"/>
  <c r="Q1640" i="1" s="1"/>
  <c r="I1640" i="1"/>
  <c r="D1640" i="1"/>
  <c r="D1621" i="1"/>
  <c r="I1621" i="1"/>
  <c r="Q1621" i="1" a="1"/>
  <c r="Q1621" i="1" s="1"/>
  <c r="D1969" i="1"/>
  <c r="I1969" i="1"/>
  <c r="Q1969" i="1" a="1"/>
  <c r="Q1969" i="1" s="1"/>
  <c r="Q1967" i="1" a="1"/>
  <c r="Q1967" i="1" s="1"/>
  <c r="I1967" i="1"/>
  <c r="D1967" i="1"/>
  <c r="Q1872" i="1" a="1"/>
  <c r="Q1872" i="1" s="1"/>
  <c r="I1872" i="1"/>
  <c r="D1872" i="1"/>
  <c r="Q1870" i="1" a="1"/>
  <c r="Q1870" i="1" s="1"/>
  <c r="I1870" i="1"/>
  <c r="D1870" i="1"/>
  <c r="Q1857" i="1" a="1"/>
  <c r="Q1857" i="1" s="1"/>
  <c r="I1857" i="1"/>
  <c r="D1857" i="1"/>
  <c r="Q1855" i="1" a="1"/>
  <c r="Q1855" i="1" s="1"/>
  <c r="I1855" i="1"/>
  <c r="D1855" i="1"/>
  <c r="D1854" i="1"/>
  <c r="I1854" i="1"/>
  <c r="Q1854" i="1" a="1"/>
  <c r="Q1854" i="1" s="1"/>
  <c r="Q1834" i="1" a="1"/>
  <c r="Q1834" i="1" s="1"/>
  <c r="I1834" i="1"/>
  <c r="D1834" i="1"/>
  <c r="Q1829" i="1" a="1"/>
  <c r="Q1829" i="1" s="1"/>
  <c r="I1829" i="1"/>
  <c r="D1829" i="1"/>
  <c r="Q1823" i="1" a="1"/>
  <c r="Q1823" i="1" s="1"/>
  <c r="I1823" i="1"/>
  <c r="D1823" i="1"/>
  <c r="Q1822" i="1" a="1"/>
  <c r="Q1822" i="1" s="1"/>
  <c r="I1822" i="1"/>
  <c r="D1822" i="1"/>
  <c r="Q1819" i="1" a="1"/>
  <c r="Q1819" i="1" s="1"/>
  <c r="I1819" i="1"/>
  <c r="D1819" i="1"/>
  <c r="Q1842" i="1" a="1"/>
  <c r="Q1842" i="1" s="1"/>
  <c r="I1842" i="1"/>
  <c r="D1842" i="1"/>
  <c r="Q1841" i="1" a="1"/>
  <c r="Q1841" i="1" s="1"/>
  <c r="I1841" i="1"/>
  <c r="D1841" i="1"/>
  <c r="Q1840" i="1" a="1"/>
  <c r="Q1840" i="1" s="1"/>
  <c r="I1840" i="1"/>
  <c r="D1840" i="1"/>
  <c r="Q1839" i="1" a="1"/>
  <c r="Q1839" i="1" s="1"/>
  <c r="I1839" i="1"/>
  <c r="D1839" i="1"/>
  <c r="Q1837" i="1" a="1"/>
  <c r="Q1837" i="1" s="1"/>
  <c r="I1837" i="1"/>
  <c r="D1837" i="1"/>
  <c r="Q1835" i="1" a="1"/>
  <c r="Q1835" i="1" s="1"/>
  <c r="I1835" i="1"/>
  <c r="D1835" i="1"/>
  <c r="Q1853" i="1" a="1"/>
  <c r="Q1853" i="1" s="1"/>
  <c r="I1853" i="1"/>
  <c r="D1853" i="1"/>
  <c r="Q1852" i="1" a="1"/>
  <c r="Q1852" i="1" s="1"/>
  <c r="I1852" i="1"/>
  <c r="D1852" i="1"/>
  <c r="Q1846" i="1" a="1"/>
  <c r="Q1846" i="1" s="1"/>
  <c r="I1846" i="1"/>
  <c r="D1846" i="1"/>
  <c r="Q1845" i="1" a="1"/>
  <c r="Q1845" i="1" s="1"/>
  <c r="I1845" i="1"/>
  <c r="D1845" i="1"/>
  <c r="D1844" i="1"/>
  <c r="I1844" i="1"/>
  <c r="Q1844" i="1" a="1"/>
  <c r="Q1844" i="1" s="1"/>
  <c r="D1843" i="1"/>
  <c r="I1843" i="1"/>
  <c r="Q1843" i="1" a="1"/>
  <c r="Q1843" i="1" s="1"/>
  <c r="Q2044" i="1" a="1"/>
  <c r="Q2044" i="1" s="1"/>
  <c r="I2044" i="1"/>
  <c r="D2044" i="1"/>
  <c r="Q1220" i="1" a="1"/>
  <c r="Q1220" i="1" s="1"/>
  <c r="Q2040" i="1" a="1"/>
  <c r="Q2040" i="1" s="1"/>
  <c r="I2040" i="1"/>
  <c r="D2040" i="1"/>
  <c r="Q2041" i="1" a="1"/>
  <c r="Q2041" i="1" s="1"/>
  <c r="I2041" i="1"/>
  <c r="D2041" i="1"/>
  <c r="D2008" i="1"/>
  <c r="I2008" i="1"/>
  <c r="Q2008" i="1" a="1"/>
  <c r="Q2008" i="1" s="1"/>
  <c r="Q2007" i="1" a="1"/>
  <c r="Q2007" i="1" s="1"/>
  <c r="I2007" i="1"/>
  <c r="D2007" i="1"/>
  <c r="Q2039" i="1" a="1"/>
  <c r="Q2039" i="1" s="1"/>
  <c r="I2039" i="1"/>
  <c r="D2039" i="1"/>
  <c r="Q1996" i="1" a="1"/>
  <c r="Q1996" i="1" s="1"/>
  <c r="I1996" i="1"/>
  <c r="D1996" i="1"/>
  <c r="Q1997" i="1" a="1"/>
  <c r="Q1997" i="1" s="1"/>
  <c r="I1997" i="1"/>
  <c r="D1997" i="1"/>
  <c r="Q1989" i="1" a="1"/>
  <c r="Q1989" i="1" s="1"/>
  <c r="I1989" i="1"/>
  <c r="D1989" i="1"/>
  <c r="Q2000" i="1" a="1"/>
  <c r="Q2000" i="1" s="1"/>
  <c r="I2000" i="1"/>
  <c r="D2000" i="1"/>
  <c r="Q1999" i="1" a="1"/>
  <c r="Q1999" i="1" s="1"/>
  <c r="I1999" i="1"/>
  <c r="D1999" i="1"/>
  <c r="Q2043" i="1" a="1"/>
  <c r="Q2043" i="1" s="1"/>
  <c r="I2043" i="1"/>
  <c r="D2043" i="1"/>
  <c r="Q2042" i="1" a="1"/>
  <c r="Q2042" i="1" s="1"/>
  <c r="I2042" i="1"/>
  <c r="D2042" i="1"/>
  <c r="Q2003" i="1" a="1"/>
  <c r="Q2003" i="1" s="1"/>
  <c r="I2003" i="1"/>
  <c r="D2003" i="1"/>
  <c r="Q2002" i="1" a="1"/>
  <c r="Q2002" i="1" s="1"/>
  <c r="I2002" i="1"/>
  <c r="D2002" i="1"/>
  <c r="Q1998" i="1" a="1"/>
  <c r="Q1998" i="1" s="1"/>
  <c r="I1998" i="1"/>
  <c r="D1998" i="1"/>
  <c r="I1993" i="1"/>
  <c r="Q1993" i="1" a="1"/>
  <c r="Q1993" i="1" s="1"/>
  <c r="D1993" i="1"/>
  <c r="D2035" i="1"/>
  <c r="I2035" i="1"/>
  <c r="Q2035" i="1" a="1"/>
  <c r="Q2035" i="1" s="1"/>
  <c r="Q1897" i="1" a="1"/>
  <c r="Q1897" i="1" s="1"/>
  <c r="I1897" i="1"/>
  <c r="D1897" i="1"/>
  <c r="Q1896" i="1" a="1"/>
  <c r="Q1896" i="1" s="1"/>
  <c r="I1896" i="1"/>
  <c r="D1896" i="1"/>
  <c r="Q1894" i="1" a="1"/>
  <c r="Q1894" i="1" s="1"/>
  <c r="I1894" i="1"/>
  <c r="D1894" i="1"/>
  <c r="Q1893" i="1" a="1"/>
  <c r="Q1893" i="1" s="1"/>
  <c r="I1893" i="1"/>
  <c r="D1893" i="1"/>
  <c r="D1883" i="1"/>
  <c r="D1887" i="1"/>
  <c r="D1888" i="1"/>
  <c r="D1891" i="1"/>
  <c r="D1892" i="1"/>
  <c r="I1883" i="1"/>
  <c r="I1887" i="1"/>
  <c r="I1888" i="1"/>
  <c r="I1891" i="1"/>
  <c r="I1892" i="1"/>
  <c r="Q1883" i="1" a="1"/>
  <c r="Q1883" i="1" s="1"/>
  <c r="Q1887" i="1" a="1"/>
  <c r="Q1887" i="1" s="1"/>
  <c r="Q1888" i="1" a="1"/>
  <c r="Q1888" i="1" s="1"/>
  <c r="Q1891" i="1" a="1"/>
  <c r="Q1891" i="1" s="1"/>
  <c r="Q1892" i="1" a="1"/>
  <c r="Q1892" i="1" s="1"/>
  <c r="D1882" i="1"/>
  <c r="I1882" i="1"/>
  <c r="Q1882" i="1" a="1"/>
  <c r="Q1882" i="1" s="1"/>
  <c r="D1917" i="1"/>
  <c r="I1917" i="1"/>
  <c r="Q1917" i="1" a="1"/>
  <c r="Q1917" i="1" s="1"/>
  <c r="Q1880" i="1" a="1"/>
  <c r="Q1880" i="1" s="1"/>
  <c r="I1880" i="1"/>
  <c r="D1880" i="1"/>
  <c r="D1915" i="1"/>
  <c r="I1915" i="1"/>
  <c r="Q1915" i="1" a="1"/>
  <c r="Q1915" i="1" s="1"/>
  <c r="D1914" i="1"/>
  <c r="I1914" i="1"/>
  <c r="Q1914" i="1" a="1"/>
  <c r="Q1914" i="1" s="1"/>
  <c r="D1962" i="1"/>
  <c r="I1962" i="1"/>
  <c r="Q1962" i="1" a="1"/>
  <c r="Q1962" i="1" s="1"/>
  <c r="D1913" i="1"/>
  <c r="I1913" i="1"/>
  <c r="Q1913" i="1" a="1"/>
  <c r="Q1913" i="1" s="1"/>
  <c r="Q1912" i="1" a="1"/>
  <c r="Q1912" i="1" s="1"/>
  <c r="I1912" i="1"/>
  <c r="D1912" i="1"/>
  <c r="D1906" i="1"/>
  <c r="D1907" i="1"/>
  <c r="D1908" i="1"/>
  <c r="D1909" i="1"/>
  <c r="D1910" i="1"/>
  <c r="D1911" i="1"/>
  <c r="I1906" i="1"/>
  <c r="I1907" i="1"/>
  <c r="I1908" i="1"/>
  <c r="I1909" i="1"/>
  <c r="I1910" i="1"/>
  <c r="I1911" i="1"/>
  <c r="Q1906" i="1" a="1"/>
  <c r="Q1906" i="1" s="1"/>
  <c r="Q1907" i="1" a="1"/>
  <c r="Q1907" i="1" s="1"/>
  <c r="Q1908" i="1" a="1"/>
  <c r="Q1908" i="1" s="1"/>
  <c r="Q1909" i="1" a="1"/>
  <c r="Q1909" i="1" s="1"/>
  <c r="Q1910" i="1" a="1"/>
  <c r="Q1910" i="1" s="1"/>
  <c r="Q1911" i="1" a="1"/>
  <c r="Q1911" i="1" s="1"/>
  <c r="D1949" i="1"/>
  <c r="I1949" i="1"/>
  <c r="Q1949" i="1" a="1"/>
  <c r="Q1949" i="1" s="1"/>
  <c r="Q2023" i="1" a="1"/>
  <c r="Q2023" i="1" s="1"/>
  <c r="I2023" i="1"/>
  <c r="D2023" i="1"/>
  <c r="Q1971" i="1" a="1"/>
  <c r="Q1971" i="1" s="1"/>
  <c r="I1971" i="1"/>
  <c r="D1971" i="1"/>
  <c r="Q1718" i="1" a="1"/>
  <c r="Q1718" i="1" s="1"/>
  <c r="I1718" i="1"/>
  <c r="D1718" i="1"/>
  <c r="Q1717" i="1" a="1"/>
  <c r="Q1717" i="1" s="1"/>
  <c r="I1717" i="1"/>
  <c r="D1717" i="1"/>
  <c r="Q1707" i="1" a="1"/>
  <c r="Q1707" i="1" s="1"/>
  <c r="I1707" i="1"/>
  <c r="D1707" i="1"/>
  <c r="Q1691" i="1" a="1"/>
  <c r="Q1691" i="1" s="1"/>
  <c r="I1691" i="1"/>
  <c r="D1691" i="1"/>
  <c r="Q1690" i="1" a="1"/>
  <c r="Q1690" i="1" s="1"/>
  <c r="I1690" i="1"/>
  <c r="D1690" i="1"/>
  <c r="Q1689" i="1" a="1"/>
  <c r="Q1689" i="1" s="1"/>
  <c r="I1689" i="1"/>
  <c r="D1689" i="1"/>
  <c r="Q1684" i="1" a="1"/>
  <c r="Q1684" i="1" s="1"/>
  <c r="I1684" i="1"/>
  <c r="D1684" i="1"/>
  <c r="Q1683" i="1" a="1"/>
  <c r="Q1683" i="1" s="1"/>
  <c r="I1683" i="1"/>
  <c r="D1683" i="1"/>
  <c r="Q1676" i="1" a="1"/>
  <c r="Q1676" i="1" s="1"/>
  <c r="I1676" i="1"/>
  <c r="D1676" i="1"/>
  <c r="Q1966" i="1" a="1"/>
  <c r="Q1966" i="1" s="1"/>
  <c r="I1966" i="1"/>
  <c r="D1966" i="1"/>
  <c r="Q2019" i="1" a="1"/>
  <c r="Q2019" i="1" s="1"/>
  <c r="I2019" i="1"/>
  <c r="D2019" i="1"/>
  <c r="Q1983" i="1" a="1"/>
  <c r="Q1983" i="1" s="1"/>
  <c r="I1983" i="1"/>
  <c r="D1983" i="1"/>
  <c r="Q1972" i="1" a="1"/>
  <c r="Q1972" i="1" s="1"/>
  <c r="I1972" i="1"/>
  <c r="D1972" i="1"/>
  <c r="Q1876" i="1" a="1"/>
  <c r="Q1876" i="1" s="1"/>
  <c r="I1876" i="1"/>
  <c r="D1876" i="1"/>
  <c r="Q1875" i="1" a="1"/>
  <c r="Q1875" i="1" s="1"/>
  <c r="I1875" i="1"/>
  <c r="D1875" i="1"/>
  <c r="Q1874" i="1" a="1"/>
  <c r="Q1874" i="1" s="1"/>
  <c r="I1874" i="1"/>
  <c r="D1874" i="1"/>
  <c r="Q1873" i="1" a="1"/>
  <c r="Q1873" i="1" s="1"/>
  <c r="I1873" i="1"/>
  <c r="D1873" i="1"/>
  <c r="Q1977" i="1" a="1"/>
  <c r="Q1977" i="1" s="1"/>
  <c r="I1977" i="1"/>
  <c r="D1977" i="1"/>
  <c r="D1978" i="1"/>
  <c r="I1978" i="1"/>
  <c r="Q1978" i="1" a="1"/>
  <c r="Q1978" i="1" s="1"/>
  <c r="Q2005" i="1" a="1"/>
  <c r="Q2005" i="1" s="1"/>
  <c r="I2005" i="1"/>
  <c r="D2005" i="1"/>
  <c r="Q2006" i="1" a="1"/>
  <c r="Q2006" i="1" s="1"/>
  <c r="I2006" i="1"/>
  <c r="D2006" i="1"/>
  <c r="Q1814" i="1" a="1"/>
  <c r="Q1814" i="1" s="1"/>
  <c r="I1814" i="1"/>
  <c r="D1814" i="1"/>
  <c r="Q1813" i="1" a="1"/>
  <c r="Q1813" i="1" s="1"/>
  <c r="I1813" i="1"/>
  <c r="D1813" i="1"/>
  <c r="Q2020" i="1" a="1"/>
  <c r="Q2020" i="1" s="1"/>
  <c r="I2020" i="1"/>
  <c r="D2020" i="1"/>
  <c r="Q1794" i="1" a="1"/>
  <c r="Q1794" i="1" s="1"/>
  <c r="I1794" i="1"/>
  <c r="D1794" i="1"/>
  <c r="Q1793" i="1" a="1"/>
  <c r="Q1793" i="1" s="1"/>
  <c r="I1793" i="1"/>
  <c r="D1793" i="1"/>
  <c r="Q1980" i="1" a="1"/>
  <c r="Q1980" i="1" s="1"/>
  <c r="I1980" i="1"/>
  <c r="D1980" i="1"/>
  <c r="Q2026" i="1" a="1"/>
  <c r="Q2026" i="1" s="1"/>
  <c r="I2026" i="1"/>
  <c r="D2026" i="1"/>
  <c r="D2004" i="1"/>
  <c r="I2004" i="1"/>
  <c r="Q2004" i="1" a="1"/>
  <c r="Q2004" i="1" s="1"/>
  <c r="Q1982" i="1" a="1"/>
  <c r="Q1982" i="1" s="1"/>
  <c r="I1982" i="1"/>
  <c r="D1982" i="1"/>
  <c r="Q1981" i="1" a="1"/>
  <c r="Q1981" i="1" s="1"/>
  <c r="I1981" i="1"/>
  <c r="D1981" i="1"/>
  <c r="Q1995" i="1" a="1"/>
  <c r="Q1995" i="1" s="1"/>
  <c r="I1995" i="1"/>
  <c r="D1995" i="1"/>
  <c r="I1991" i="1"/>
  <c r="D1991" i="1"/>
  <c r="D1973" i="1"/>
  <c r="I1973" i="1"/>
  <c r="Q1973" i="1" a="1"/>
  <c r="Q1973" i="1" s="1"/>
  <c r="D1720" i="1"/>
  <c r="I1720" i="1"/>
  <c r="Q1720" i="1" a="1"/>
  <c r="Q1720" i="1" s="1"/>
  <c r="D1881" i="1"/>
  <c r="I1881" i="1"/>
  <c r="Q1881" i="1" a="1"/>
  <c r="Q1881" i="1" s="1"/>
  <c r="D1948" i="1"/>
  <c r="I1948" i="1"/>
  <c r="Q1948" i="1" a="1"/>
  <c r="Q1948" i="1" s="1"/>
  <c r="Q1965" i="1" a="1"/>
  <c r="Q1965" i="1" s="1"/>
  <c r="I1965" i="1"/>
  <c r="D1965" i="1"/>
  <c r="Q1959" i="1" a="1"/>
  <c r="Q1959" i="1" s="1"/>
  <c r="I1959" i="1"/>
  <c r="D1959" i="1"/>
  <c r="Q1958" i="1" a="1"/>
  <c r="Q1958" i="1" s="1"/>
  <c r="I1958" i="1"/>
  <c r="D1958" i="1"/>
  <c r="Q1902" i="1" a="1"/>
  <c r="Q1902" i="1" s="1"/>
  <c r="I1902" i="1"/>
  <c r="D1902" i="1"/>
  <c r="Q1901" i="1" a="1"/>
  <c r="Q1901" i="1" s="1"/>
  <c r="I1901" i="1"/>
  <c r="D1901" i="1"/>
  <c r="Q1900" i="1" a="1"/>
  <c r="Q1900" i="1" s="1"/>
  <c r="I1900" i="1"/>
  <c r="D1900" i="1"/>
  <c r="D1899" i="1"/>
  <c r="I1899" i="1"/>
  <c r="Q1899" i="1" a="1"/>
  <c r="Q1899" i="1" s="1"/>
  <c r="Q1898" i="1" a="1"/>
  <c r="Q1898" i="1" s="1"/>
  <c r="I1898" i="1"/>
  <c r="D1898" i="1"/>
  <c r="Q2022" i="1" a="1"/>
  <c r="Q2022" i="1" s="1"/>
  <c r="I2022" i="1"/>
  <c r="D2022" i="1"/>
  <c r="D2021" i="1"/>
  <c r="I2021" i="1"/>
  <c r="Q2021" i="1" a="1"/>
  <c r="Q2021" i="1" s="1"/>
  <c r="Q1990" i="1" a="1"/>
  <c r="Q1990" i="1" s="1"/>
  <c r="I1990" i="1"/>
  <c r="D1990" i="1"/>
  <c r="Q1895" i="1" a="1"/>
  <c r="Q1895" i="1" s="1"/>
  <c r="I1895" i="1"/>
  <c r="D1895" i="1"/>
  <c r="Q2018" i="1" a="1"/>
  <c r="Q2018" i="1" s="1"/>
  <c r="I2018" i="1"/>
  <c r="D2018" i="1"/>
  <c r="Q2009" i="1" a="1"/>
  <c r="Q2009" i="1" s="1"/>
  <c r="I2009" i="1"/>
  <c r="D2009" i="1"/>
  <c r="Q1927" i="1" a="1"/>
  <c r="Q1927" i="1" s="1"/>
  <c r="I1927" i="1"/>
  <c r="D1927" i="1"/>
  <c r="Q1968" i="1" a="1"/>
  <c r="Q1968" i="1" s="1"/>
  <c r="I1968" i="1"/>
  <c r="D1968" i="1"/>
  <c r="Q2015" i="1" a="1"/>
  <c r="Q2015" i="1" s="1"/>
  <c r="I2015" i="1"/>
  <c r="D2015" i="1"/>
  <c r="D2025" i="1"/>
  <c r="I2025" i="1"/>
  <c r="Q2025" i="1" a="1"/>
  <c r="Q2025" i="1" s="1"/>
  <c r="Q1890" i="1" a="1"/>
  <c r="Q1890" i="1" s="1"/>
  <c r="I1890" i="1"/>
  <c r="D1890" i="1"/>
  <c r="Q1918" i="1" a="1"/>
  <c r="Q1918" i="1" s="1"/>
  <c r="I1918" i="1"/>
  <c r="D1918" i="1"/>
  <c r="D1889" i="1"/>
  <c r="I1889" i="1"/>
  <c r="Q1889" i="1" a="1"/>
  <c r="Q1889" i="1" s="1"/>
  <c r="Q2024" i="1" a="1"/>
  <c r="Q2024" i="1" s="1"/>
  <c r="I2024" i="1"/>
  <c r="D2024" i="1"/>
  <c r="Q2034" i="1" a="1"/>
  <c r="Q2034" i="1" s="1"/>
  <c r="I2034" i="1"/>
  <c r="D2034" i="1"/>
  <c r="D1886" i="1"/>
  <c r="I1886" i="1"/>
  <c r="Q1886" i="1" a="1"/>
  <c r="Q1886" i="1" s="1"/>
  <c r="D1885" i="1"/>
  <c r="I1885" i="1"/>
  <c r="Q1885" i="1" a="1"/>
  <c r="Q1885" i="1" s="1"/>
  <c r="I1708" i="1"/>
  <c r="D1788" i="1"/>
  <c r="I1788" i="1"/>
  <c r="Q1788" i="1" a="1"/>
  <c r="Q1788" i="1" s="1"/>
  <c r="D1931" i="1"/>
  <c r="I1931" i="1"/>
  <c r="Q1931" i="1" a="1"/>
  <c r="Q1931" i="1" s="1"/>
  <c r="D2045" i="1"/>
  <c r="I2045" i="1"/>
  <c r="Q2045" i="1" a="1"/>
  <c r="Q2045" i="1" s="1"/>
  <c r="Q1879" i="1" a="1"/>
  <c r="Q1879" i="1" s="1"/>
  <c r="I1879" i="1"/>
  <c r="D1879" i="1"/>
  <c r="Q1877" i="1" a="1"/>
  <c r="Q1877" i="1" s="1"/>
  <c r="I1877" i="1"/>
  <c r="D1877" i="1"/>
  <c r="Q2011" i="1" a="1"/>
  <c r="Q2011" i="1" s="1"/>
  <c r="I2011" i="1"/>
  <c r="D2011" i="1"/>
  <c r="Q2010" i="1" a="1"/>
  <c r="Q2010" i="1" s="1"/>
  <c r="I2010" i="1"/>
  <c r="D2010" i="1"/>
  <c r="Q2016" i="1" a="1"/>
  <c r="Q2016" i="1" s="1"/>
  <c r="I2016" i="1"/>
  <c r="D2016" i="1"/>
  <c r="Q1871" i="1" a="1"/>
  <c r="Q1871" i="1" s="1"/>
  <c r="I1871" i="1"/>
  <c r="D1871" i="1"/>
  <c r="Q2031" i="1" a="1"/>
  <c r="Q2031" i="1" s="1"/>
  <c r="I2031" i="1"/>
  <c r="D2031" i="1"/>
  <c r="Q1869" i="1" a="1"/>
  <c r="Q1869" i="1" s="1"/>
  <c r="I1869" i="1"/>
  <c r="D1869" i="1"/>
  <c r="Q1868" i="1" a="1"/>
  <c r="Q1868" i="1" s="1"/>
  <c r="I1868" i="1"/>
  <c r="D1868" i="1"/>
  <c r="Q1867" i="1" a="1"/>
  <c r="Q1867" i="1" s="1"/>
  <c r="I1867" i="1"/>
  <c r="D1867" i="1"/>
  <c r="Q1866" i="1" a="1"/>
  <c r="Q1866" i="1" s="1"/>
  <c r="I1866" i="1"/>
  <c r="D1866" i="1"/>
  <c r="Q1865" i="1" a="1"/>
  <c r="Q1865" i="1" s="1"/>
  <c r="I1865" i="1"/>
  <c r="D1865" i="1"/>
  <c r="Q1864" i="1" a="1"/>
  <c r="Q1864" i="1" s="1"/>
  <c r="I1864" i="1"/>
  <c r="D1864" i="1"/>
  <c r="Q1863" i="1" a="1"/>
  <c r="Q1863" i="1" s="1"/>
  <c r="I1863" i="1"/>
  <c r="D1863" i="1"/>
  <c r="D1862" i="1"/>
  <c r="I1862" i="1"/>
  <c r="Q1862" i="1" a="1"/>
  <c r="Q1862" i="1" s="1"/>
  <c r="D1878" i="1"/>
  <c r="I1878" i="1"/>
  <c r="Q1878" i="1" a="1"/>
  <c r="Q1878" i="1" s="1"/>
  <c r="Q1861" i="1" a="1"/>
  <c r="Q1861" i="1" s="1"/>
  <c r="I1861" i="1"/>
  <c r="D1861" i="1"/>
  <c r="Q1860" i="1" a="1"/>
  <c r="Q1860" i="1" s="1"/>
  <c r="I1860" i="1"/>
  <c r="D1860" i="1"/>
  <c r="Q1859" i="1" a="1"/>
  <c r="Q1859" i="1" s="1"/>
  <c r="I1859" i="1"/>
  <c r="D1859" i="1"/>
  <c r="Q1858" i="1" a="1"/>
  <c r="Q1858" i="1" s="1"/>
  <c r="I1858" i="1"/>
  <c r="D1858" i="1"/>
  <c r="Q1950" i="1" a="1"/>
  <c r="Q1950" i="1" s="1"/>
  <c r="I1950" i="1"/>
  <c r="D1950" i="1"/>
  <c r="Q1856" i="1" a="1"/>
  <c r="Q1856" i="1" s="1"/>
  <c r="I1856" i="1"/>
  <c r="D1856" i="1"/>
  <c r="Q1946" i="1" a="1"/>
  <c r="Q1946" i="1" s="1"/>
  <c r="I1946" i="1"/>
  <c r="D1946" i="1"/>
  <c r="I1992" i="1"/>
  <c r="D1992" i="1"/>
  <c r="Q2032" i="1" a="1"/>
  <c r="Q2032" i="1" s="1"/>
  <c r="I2032" i="1"/>
  <c r="D2032" i="1"/>
  <c r="Q1951" i="1" a="1"/>
  <c r="Q1951" i="1" s="1"/>
  <c r="I1951" i="1"/>
  <c r="D1951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2036" i="1" a="1"/>
  <c r="Q2036" i="1" s="1"/>
  <c r="I2036" i="1"/>
  <c r="D2036" i="1"/>
  <c r="D1928" i="1"/>
  <c r="I1928" i="1"/>
  <c r="Q1928" i="1" a="1"/>
  <c r="Q1928" i="1" s="1"/>
  <c r="D1926" i="1"/>
  <c r="I1926" i="1"/>
  <c r="Q1926" i="1" a="1"/>
  <c r="Q1926" i="1" s="1"/>
  <c r="D1925" i="1"/>
  <c r="I1925" i="1"/>
  <c r="Q1925" i="1" a="1"/>
  <c r="Q1925" i="1" s="1"/>
  <c r="D1924" i="1"/>
  <c r="I1924" i="1"/>
  <c r="Q1924" i="1" a="1"/>
  <c r="Q1924" i="1" s="1"/>
  <c r="D1923" i="1"/>
  <c r="I1923" i="1"/>
  <c r="Q1923" i="1" a="1"/>
  <c r="Q1923" i="1" s="1"/>
  <c r="Q1922" i="1" a="1"/>
  <c r="Q1922" i="1" s="1"/>
  <c r="I1922" i="1"/>
  <c r="D1922" i="1"/>
  <c r="Q1975" i="1" a="1"/>
  <c r="Q1975" i="1" s="1"/>
  <c r="I1975" i="1"/>
  <c r="D1975" i="1"/>
  <c r="Q2029" i="1" a="1"/>
  <c r="Q2029" i="1" s="1"/>
  <c r="I2029" i="1"/>
  <c r="D2029" i="1"/>
  <c r="Q1838" i="1" a="1"/>
  <c r="Q1838" i="1" s="1"/>
  <c r="I1838" i="1"/>
  <c r="D1838" i="1"/>
  <c r="Q2030" i="1" a="1"/>
  <c r="Q2030" i="1" s="1"/>
  <c r="I2030" i="1"/>
  <c r="D2030" i="1"/>
  <c r="Q1836" i="1" a="1"/>
  <c r="Q1836" i="1" s="1"/>
  <c r="I1836" i="1"/>
  <c r="D1836" i="1"/>
  <c r="D2014" i="1"/>
  <c r="I2014" i="1"/>
  <c r="Q2014" i="1" a="1"/>
  <c r="Q2014" i="1" s="1"/>
  <c r="D2047" i="1"/>
  <c r="I2047" i="1"/>
  <c r="Q2047" i="1" a="1"/>
  <c r="Q2047" i="1" s="1"/>
  <c r="Q1833" i="1" a="1"/>
  <c r="Q1833" i="1" s="1"/>
  <c r="I1833" i="1"/>
  <c r="D1833" i="1"/>
  <c r="Q1832" i="1" a="1"/>
  <c r="Q1832" i="1" s="1"/>
  <c r="I1832" i="1"/>
  <c r="D1832" i="1"/>
  <c r="Q1945" i="1" a="1"/>
  <c r="Q1945" i="1" s="1"/>
  <c r="I1945" i="1"/>
  <c r="D1945" i="1"/>
  <c r="Q1831" i="1" a="1"/>
  <c r="Q1831" i="1" s="1"/>
  <c r="I1831" i="1"/>
  <c r="D1831" i="1"/>
  <c r="Q1830" i="1" a="1"/>
  <c r="Q1830" i="1" s="1"/>
  <c r="I1830" i="1"/>
  <c r="D1830" i="1"/>
  <c r="Q1970" i="1" a="1"/>
  <c r="Q1970" i="1" s="1"/>
  <c r="I1970" i="1"/>
  <c r="D1970" i="1"/>
  <c r="Q1828" i="1" a="1"/>
  <c r="Q1828" i="1" s="1"/>
  <c r="I1828" i="1"/>
  <c r="D1828" i="1"/>
  <c r="Q1827" i="1" a="1"/>
  <c r="Q1827" i="1" s="1"/>
  <c r="I1827" i="1"/>
  <c r="D1827" i="1"/>
  <c r="Q1826" i="1" a="1"/>
  <c r="Q1826" i="1" s="1"/>
  <c r="I1826" i="1"/>
  <c r="D1826" i="1"/>
  <c r="Q1825" i="1" a="1"/>
  <c r="Q1825" i="1" s="1"/>
  <c r="I1825" i="1"/>
  <c r="D1825" i="1"/>
  <c r="Q1824" i="1" a="1"/>
  <c r="Q1824" i="1" s="1"/>
  <c r="I1824" i="1"/>
  <c r="D1824" i="1"/>
  <c r="Q1961" i="1" a="1"/>
  <c r="Q1961" i="1" s="1"/>
  <c r="I1961" i="1"/>
  <c r="D1961" i="1"/>
  <c r="Q1930" i="1" a="1"/>
  <c r="Q1930" i="1" s="1"/>
  <c r="I1930" i="1"/>
  <c r="D1930" i="1"/>
  <c r="Q1821" i="1" a="1"/>
  <c r="Q1821" i="1" s="1"/>
  <c r="I1821" i="1"/>
  <c r="D1821" i="1"/>
  <c r="Q1820" i="1" a="1"/>
  <c r="Q1820" i="1" s="1"/>
  <c r="I1820" i="1"/>
  <c r="D1820" i="1"/>
  <c r="Q2001" i="1" a="1"/>
  <c r="Q2001" i="1" s="1"/>
  <c r="I2001" i="1"/>
  <c r="D2001" i="1"/>
  <c r="Q1818" i="1" a="1"/>
  <c r="Q1818" i="1" s="1"/>
  <c r="I1818" i="1"/>
  <c r="D1818" i="1"/>
  <c r="Q1817" i="1" a="1"/>
  <c r="Q1817" i="1" s="1"/>
  <c r="I1817" i="1"/>
  <c r="D1817" i="1"/>
  <c r="Q1816" i="1" a="1"/>
  <c r="Q1816" i="1" s="1"/>
  <c r="I1816" i="1"/>
  <c r="D1816" i="1"/>
  <c r="D1815" i="1"/>
  <c r="I1815" i="1"/>
  <c r="Q1815" i="1" a="1"/>
  <c r="Q1815" i="1" s="1"/>
  <c r="D1455" i="1"/>
  <c r="I1455" i="1"/>
  <c r="Q1455" i="1" a="1"/>
  <c r="Q1455" i="1" s="1"/>
  <c r="Q1233" i="1" a="1"/>
  <c r="Q1233" i="1" s="1"/>
  <c r="D1764" i="1"/>
  <c r="I1764" i="1"/>
  <c r="Q1764" i="1" a="1"/>
  <c r="Q1764" i="1" s="1"/>
  <c r="I1558" i="1"/>
  <c r="D2050" i="1"/>
  <c r="I2050" i="1"/>
  <c r="Q2050" i="1" a="1"/>
  <c r="Q2050" i="1" s="1"/>
  <c r="D1803" i="1"/>
  <c r="I1803" i="1"/>
  <c r="Q1803" i="1" a="1"/>
  <c r="Q1803" i="1" s="1"/>
  <c r="D1802" i="1"/>
  <c r="I1802" i="1"/>
  <c r="Q1802" i="1" a="1"/>
  <c r="Q1802" i="1" s="1"/>
  <c r="D1801" i="1"/>
  <c r="I1801" i="1"/>
  <c r="Q1801" i="1" a="1"/>
  <c r="Q1801" i="1" s="1"/>
  <c r="D1800" i="1"/>
  <c r="I1800" i="1"/>
  <c r="Q1800" i="1" a="1"/>
  <c r="Q1800" i="1" s="1"/>
  <c r="D1799" i="1"/>
  <c r="I1799" i="1"/>
  <c r="Q1799" i="1" a="1"/>
  <c r="Q1799" i="1" s="1"/>
  <c r="D1884" i="1"/>
  <c r="I1884" i="1"/>
  <c r="Q1884" i="1" a="1"/>
  <c r="Q1884" i="1" s="1"/>
  <c r="D1806" i="1"/>
  <c r="I1806" i="1"/>
  <c r="Q1806" i="1" a="1"/>
  <c r="Q1806" i="1" s="1"/>
  <c r="D2053" i="1"/>
  <c r="I2053" i="1"/>
  <c r="Q2053" i="1" a="1"/>
  <c r="Q2053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2033" i="1"/>
  <c r="I2033" i="1"/>
  <c r="Q2033" i="1" a="1"/>
  <c r="Q2033" i="1" s="1"/>
  <c r="D1798" i="1"/>
  <c r="I1798" i="1"/>
  <c r="Q1798" i="1" a="1"/>
  <c r="Q1798" i="1" s="1"/>
  <c r="D1797" i="1"/>
  <c r="I1797" i="1"/>
  <c r="Q1797" i="1" a="1"/>
  <c r="Q1797" i="1" s="1"/>
  <c r="D1789" i="1"/>
  <c r="I1789" i="1"/>
  <c r="Q1789" i="1" a="1"/>
  <c r="Q1789" i="1" s="1"/>
  <c r="D1796" i="1"/>
  <c r="I1796" i="1"/>
  <c r="Q1796" i="1" a="1"/>
  <c r="Q1796" i="1" s="1"/>
  <c r="D1795" i="1"/>
  <c r="I1795" i="1"/>
  <c r="Q1795" i="1" a="1"/>
  <c r="Q1795" i="1" s="1"/>
  <c r="D1790" i="1"/>
  <c r="D1791" i="1"/>
  <c r="D1792" i="1"/>
  <c r="D1963" i="1"/>
  <c r="I1790" i="1"/>
  <c r="I1791" i="1"/>
  <c r="I1792" i="1"/>
  <c r="I1963" i="1"/>
  <c r="Q1790" i="1" a="1"/>
  <c r="Q1790" i="1" s="1"/>
  <c r="Q1791" i="1" a="1"/>
  <c r="Q1791" i="1" s="1"/>
  <c r="Q1792" i="1" a="1"/>
  <c r="Q1792" i="1" s="1"/>
  <c r="Q1963" i="1" a="1"/>
  <c r="Q1963" i="1" s="1"/>
  <c r="D1805" i="1"/>
  <c r="I1805" i="1"/>
  <c r="Q1805" i="1" a="1"/>
  <c r="Q1805" i="1" s="1"/>
  <c r="D1932" i="1"/>
  <c r="I1932" i="1"/>
  <c r="Q1932" i="1" a="1"/>
  <c r="Q1932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1" i="1" a="1"/>
  <c r="Q781" i="1" s="1"/>
  <c r="Q780" i="1" a="1"/>
  <c r="Q780" i="1" s="1"/>
  <c r="Q779" i="1" a="1"/>
  <c r="Q779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6" i="1" a="1"/>
  <c r="Q776" i="1" s="1"/>
  <c r="Q775" i="1" a="1"/>
  <c r="Q775" i="1" s="1"/>
  <c r="Q770" i="1" a="1"/>
  <c r="Q770" i="1" s="1"/>
  <c r="Q774" i="1" a="1"/>
  <c r="Q774" i="1" s="1"/>
  <c r="Q773" i="1" a="1"/>
  <c r="Q773" i="1" s="1"/>
  <c r="Q771" i="1" a="1"/>
  <c r="Q771" i="1" s="1"/>
  <c r="Q772" i="1" a="1"/>
  <c r="Q772" i="1" s="1"/>
  <c r="Q784" i="1" a="1"/>
  <c r="Q784" i="1" s="1"/>
  <c r="Q785" i="1" a="1"/>
  <c r="Q785" i="1" s="1"/>
  <c r="Q783" i="1" a="1"/>
  <c r="Q783" i="1" s="1"/>
  <c r="Q782" i="1" a="1"/>
  <c r="Q782" i="1" s="1"/>
  <c r="Q765" i="1" a="1"/>
  <c r="Q765" i="1" s="1"/>
  <c r="Q709" i="1" a="1"/>
  <c r="Q709" i="1" s="1"/>
  <c r="Q790" i="1" a="1"/>
  <c r="Q790" i="1" s="1"/>
  <c r="Q789" i="1" a="1"/>
  <c r="Q789" i="1" s="1"/>
  <c r="Q791" i="1" a="1"/>
  <c r="Q791" i="1" s="1"/>
  <c r="Q788" i="1" a="1"/>
  <c r="Q788" i="1" s="1"/>
  <c r="Q786" i="1" a="1"/>
  <c r="Q786" i="1" s="1"/>
  <c r="Q787" i="1" a="1"/>
  <c r="Q787" i="1" s="1"/>
  <c r="Q760" i="1" a="1"/>
  <c r="Q760" i="1" s="1"/>
  <c r="Q777" i="1" a="1"/>
  <c r="Q777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1979" i="1" a="1"/>
  <c r="Q1979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8" i="1" a="1"/>
  <c r="Q778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7" i="1" a="1"/>
  <c r="Q1477" i="1" s="1"/>
  <c r="Q1458" i="1" a="1"/>
  <c r="Q1458" i="1" s="1"/>
  <c r="Q1466" i="1" a="1"/>
  <c r="Q1466" i="1" s="1"/>
  <c r="Q1462" i="1" a="1"/>
  <c r="Q1462" i="1" s="1"/>
  <c r="Q1486" i="1" a="1"/>
  <c r="Q1486" i="1" s="1"/>
  <c r="Q1485" i="1" a="1"/>
  <c r="Q1485" i="1" s="1"/>
  <c r="Q1459" i="1" a="1"/>
  <c r="Q1459" i="1" s="1"/>
  <c r="Q1483" i="1" a="1"/>
  <c r="Q1483" i="1" s="1"/>
  <c r="Q1482" i="1" a="1"/>
  <c r="Q1482" i="1" s="1"/>
  <c r="Q1490" i="1" a="1"/>
  <c r="Q1490" i="1" s="1"/>
  <c r="Q1488" i="1" a="1"/>
  <c r="Q1488" i="1" s="1"/>
  <c r="Q1479" i="1" a="1"/>
  <c r="Q1479" i="1" s="1"/>
  <c r="Q1480" i="1" a="1"/>
  <c r="Q1480" i="1" s="1"/>
  <c r="Q1484" i="1" a="1"/>
  <c r="Q1484" i="1" s="1"/>
  <c r="Q1489" i="1" a="1"/>
  <c r="Q1489" i="1" s="1"/>
  <c r="Q1491" i="1" a="1"/>
  <c r="Q1491" i="1" s="1"/>
  <c r="Q1457" i="1" a="1"/>
  <c r="Q1457" i="1" s="1"/>
  <c r="Q1461" i="1" a="1"/>
  <c r="Q1461" i="1" s="1"/>
  <c r="Q1467" i="1" a="1"/>
  <c r="Q1467" i="1" s="1"/>
  <c r="Q1463" i="1" a="1"/>
  <c r="Q1463" i="1" s="1"/>
  <c r="Q1460" i="1" a="1"/>
  <c r="Q1460" i="1" s="1"/>
  <c r="Q1468" i="1" a="1"/>
  <c r="Q1468" i="1" s="1"/>
  <c r="Q1464" i="1" a="1"/>
  <c r="Q1464" i="1" s="1"/>
  <c r="Q1465" i="1" a="1"/>
  <c r="Q1465" i="1" s="1"/>
  <c r="Q1478" i="1" a="1"/>
  <c r="Q1478" i="1" s="1"/>
  <c r="Q769" i="1" a="1"/>
  <c r="Q769" i="1" s="1"/>
  <c r="Q1469" i="1" a="1"/>
  <c r="Q1469" i="1" s="1"/>
  <c r="Q1472" i="1" a="1"/>
  <c r="Q1472" i="1" s="1"/>
  <c r="Q1473" i="1" a="1"/>
  <c r="Q1473" i="1" s="1"/>
  <c r="Q1470" i="1" a="1"/>
  <c r="Q1470" i="1" s="1"/>
  <c r="Q1471" i="1" a="1"/>
  <c r="Q1471" i="1" s="1"/>
  <c r="Q1474" i="1" a="1"/>
  <c r="Q1474" i="1" s="1"/>
  <c r="Q1475" i="1" a="1"/>
  <c r="Q1475" i="1" s="1"/>
  <c r="Q1476" i="1" a="1"/>
  <c r="Q1476" i="1" s="1"/>
  <c r="Q1523" i="1" a="1"/>
  <c r="Q1523" i="1" s="1"/>
  <c r="Q1513" i="1" a="1"/>
  <c r="Q1513" i="1" s="1"/>
  <c r="Q1516" i="1" a="1"/>
  <c r="Q1516" i="1" s="1"/>
  <c r="Q1481" i="1" a="1"/>
  <c r="Q1481" i="1" s="1"/>
  <c r="Q1511" i="1" a="1"/>
  <c r="Q1511" i="1" s="1"/>
  <c r="Q1507" i="1" a="1"/>
  <c r="Q1507" i="1" s="1"/>
  <c r="Q1510" i="1" a="1"/>
  <c r="Q1510" i="1" s="1"/>
  <c r="Q1506" i="1" a="1"/>
  <c r="Q1506" i="1" s="1"/>
  <c r="Q1508" i="1" a="1"/>
  <c r="Q1508" i="1" s="1"/>
  <c r="Q1509" i="1" a="1"/>
  <c r="Q1509" i="1" s="1"/>
  <c r="Q1512" i="1" a="1"/>
  <c r="Q1512" i="1" s="1"/>
  <c r="Q1497" i="1" a="1"/>
  <c r="Q1497" i="1" s="1"/>
  <c r="Q1498" i="1" a="1"/>
  <c r="Q1498" i="1" s="1"/>
  <c r="Q1496" i="1" a="1"/>
  <c r="Q1496" i="1" s="1"/>
  <c r="Q1541" i="1" a="1"/>
  <c r="Q1541" i="1" s="1"/>
  <c r="Q1540" i="1" a="1"/>
  <c r="Q1540" i="1" s="1"/>
  <c r="Q1536" i="1" a="1"/>
  <c r="Q1536" i="1" s="1"/>
  <c r="Q1534" i="1" a="1"/>
  <c r="Q1534" i="1" s="1"/>
  <c r="Q1535" i="1" a="1"/>
  <c r="Q1535" i="1" s="1"/>
  <c r="Q1537" i="1" a="1"/>
  <c r="Q1537" i="1" s="1"/>
  <c r="Q1538" i="1" a="1"/>
  <c r="Q1538" i="1" s="1"/>
  <c r="Q1539" i="1" a="1"/>
  <c r="Q1539" i="1" s="1"/>
  <c r="Q1514" i="1" a="1"/>
  <c r="Q1514" i="1" s="1"/>
  <c r="Q1517" i="1" a="1"/>
  <c r="Q1517" i="1" s="1"/>
  <c r="Q1528" i="1" a="1"/>
  <c r="Q1528" i="1" s="1"/>
  <c r="Q1518" i="1" a="1"/>
  <c r="Q1518" i="1" s="1"/>
  <c r="Q1503" i="1" a="1"/>
  <c r="Q1503" i="1" s="1"/>
  <c r="Q1494" i="1" a="1"/>
  <c r="Q1494" i="1" s="1"/>
  <c r="Q1495" i="1" a="1"/>
  <c r="Q1495" i="1" s="1"/>
  <c r="Q1493" i="1" a="1"/>
  <c r="Q1493" i="1" s="1"/>
  <c r="Q1501" i="1" a="1"/>
  <c r="Q1501" i="1" s="1"/>
  <c r="Q1505" i="1" a="1"/>
  <c r="Q1505" i="1" s="1"/>
  <c r="Q1504" i="1" a="1"/>
  <c r="Q1504" i="1" s="1"/>
  <c r="Q1502" i="1" a="1"/>
  <c r="Q1502" i="1" s="1"/>
  <c r="Q1519" i="1" a="1"/>
  <c r="Q1519" i="1" s="1"/>
  <c r="Q1531" i="1" a="1"/>
  <c r="Q1531" i="1" s="1"/>
  <c r="Q1492" i="1" a="1"/>
  <c r="Q1492" i="1" s="1"/>
  <c r="Q1499" i="1" a="1"/>
  <c r="Q1499" i="1" s="1"/>
  <c r="Q1532" i="1" a="1"/>
  <c r="Q1532" i="1" s="1"/>
  <c r="Q1524" i="1" a="1"/>
  <c r="Q1524" i="1" s="1"/>
  <c r="Q1530" i="1" a="1"/>
  <c r="Q1530" i="1" s="1"/>
  <c r="Q1529" i="1" a="1"/>
  <c r="Q1529" i="1" s="1"/>
  <c r="Q1520" i="1" a="1"/>
  <c r="Q1520" i="1" s="1"/>
  <c r="Q1522" i="1" a="1"/>
  <c r="Q1522" i="1" s="1"/>
  <c r="Q1500" i="1" a="1"/>
  <c r="Q1500" i="1" s="1"/>
  <c r="Q1521" i="1" a="1"/>
  <c r="Q1521" i="1" s="1"/>
  <c r="Q1515" i="1" a="1"/>
  <c r="Q1515" i="1" s="1"/>
  <c r="Q1533" i="1" a="1"/>
  <c r="Q1533" i="1" s="1"/>
  <c r="Q1526" i="1" a="1"/>
  <c r="Q1526" i="1" s="1"/>
  <c r="Q1527" i="1" a="1"/>
  <c r="Q1527" i="1" s="1"/>
  <c r="Q1525" i="1" a="1"/>
  <c r="Q1525" i="1" s="1"/>
  <c r="Q1542" i="1" a="1"/>
  <c r="Q1542" i="1" s="1"/>
  <c r="Q1556" i="1" a="1"/>
  <c r="Q1556" i="1" s="1"/>
  <c r="Q1555" i="1" a="1"/>
  <c r="Q1555" i="1" s="1"/>
  <c r="Q1558" i="1" a="1"/>
  <c r="Q1558" i="1" s="1"/>
  <c r="Q1561" i="1" a="1"/>
  <c r="Q1561" i="1" s="1"/>
  <c r="Q1559" i="1" a="1"/>
  <c r="Q1559" i="1" s="1"/>
  <c r="Q1543" i="1" a="1"/>
  <c r="Q1543" i="1" s="1"/>
  <c r="Q1544" i="1" a="1"/>
  <c r="Q1544" i="1" s="1"/>
  <c r="Q1560" i="1" a="1"/>
  <c r="Q1560" i="1" s="1"/>
  <c r="Q1587" i="1" a="1"/>
  <c r="Q1587" i="1" s="1"/>
  <c r="Q1582" i="1" a="1"/>
  <c r="Q1582" i="1" s="1"/>
  <c r="Q1567" i="1" a="1"/>
  <c r="Q1567" i="1" s="1"/>
  <c r="Q1571" i="1" a="1"/>
  <c r="Q1571" i="1" s="1"/>
  <c r="Q1576" i="1" a="1"/>
  <c r="Q1576" i="1" s="1"/>
  <c r="Q1565" i="1" a="1"/>
  <c r="Q1565" i="1" s="1"/>
  <c r="Q1577" i="1" a="1"/>
  <c r="Q1577" i="1" s="1"/>
  <c r="Q1573" i="1" a="1"/>
  <c r="Q1573" i="1" s="1"/>
  <c r="Q1572" i="1" a="1"/>
  <c r="Q1572" i="1" s="1"/>
  <c r="Q1589" i="1" a="1"/>
  <c r="Q1589" i="1" s="1"/>
  <c r="Q1936" i="1" a="1"/>
  <c r="Q1936" i="1" s="1"/>
  <c r="Q1595" i="1" a="1"/>
  <c r="Q1595" i="1" s="1"/>
  <c r="Q1597" i="1" a="1"/>
  <c r="Q1597" i="1" s="1"/>
  <c r="Q1590" i="1" a="1"/>
  <c r="Q1590" i="1" s="1"/>
  <c r="Q1591" i="1" a="1"/>
  <c r="Q1591" i="1" s="1"/>
  <c r="Q1592" i="1" a="1"/>
  <c r="Q1592" i="1" s="1"/>
  <c r="Q1593" i="1" a="1"/>
  <c r="Q1593" i="1" s="1"/>
  <c r="Q1594" i="1" a="1"/>
  <c r="Q1594" i="1" s="1"/>
  <c r="Q1596" i="1" a="1"/>
  <c r="Q1596" i="1" s="1"/>
  <c r="Q1578" i="1" a="1"/>
  <c r="Q1578" i="1" s="1"/>
  <c r="Q1566" i="1" a="1"/>
  <c r="Q1566" i="1" s="1"/>
  <c r="Q1568" i="1" a="1"/>
  <c r="Q1568" i="1" s="1"/>
  <c r="Q1579" i="1" a="1"/>
  <c r="Q1579" i="1" s="1"/>
  <c r="Q1580" i="1" a="1"/>
  <c r="Q1580" i="1" s="1"/>
  <c r="Q1581" i="1" a="1"/>
  <c r="Q1581" i="1" s="1"/>
  <c r="Q1569" i="1" a="1"/>
  <c r="Q1569" i="1" s="1"/>
  <c r="Q1574" i="1" a="1"/>
  <c r="Q1574" i="1" s="1"/>
  <c r="Q1570" i="1" a="1"/>
  <c r="Q1570" i="1" s="1"/>
  <c r="Q1575" i="1" a="1"/>
  <c r="Q1575" i="1" s="1"/>
  <c r="Q1563" i="1" a="1"/>
  <c r="Q1563" i="1" s="1"/>
  <c r="Q1934" i="1" a="1"/>
  <c r="Q1934" i="1" s="1"/>
  <c r="Q1546" i="1" a="1"/>
  <c r="Q1546" i="1" s="1"/>
  <c r="Q1935" i="1" a="1"/>
  <c r="Q1935" i="1" s="1"/>
  <c r="Q1562" i="1" a="1"/>
  <c r="Q1562" i="1" s="1"/>
  <c r="Q1564" i="1" a="1"/>
  <c r="Q1564" i="1" s="1"/>
  <c r="Q1939" i="1" a="1"/>
  <c r="Q1939" i="1" s="1"/>
  <c r="Q1623" i="1" a="1"/>
  <c r="Q1623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937" i="1" a="1"/>
  <c r="Q1937" i="1" s="1"/>
  <c r="Q1622" i="1" a="1"/>
  <c r="Q1622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6" i="1" a="1"/>
  <c r="Q1646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940" i="1" a="1"/>
  <c r="Q1940" i="1" s="1"/>
  <c r="Q2085" i="1" a="1"/>
  <c r="Q2085" i="1" s="1"/>
  <c r="Q1628" i="1" a="1"/>
  <c r="Q1628" i="1" s="1"/>
  <c r="Q1613" i="1" a="1"/>
  <c r="Q1613" i="1" s="1"/>
  <c r="Q1619" i="1" a="1"/>
  <c r="Q1619" i="1" s="1"/>
  <c r="Q1545" i="1" a="1"/>
  <c r="Q1545" i="1" s="1"/>
  <c r="Q1624" i="1" a="1"/>
  <c r="Q1624" i="1" s="1"/>
  <c r="Q1550" i="1" a="1"/>
  <c r="Q1550" i="1" s="1"/>
  <c r="Q1549" i="1" a="1"/>
  <c r="Q1549" i="1" s="1"/>
  <c r="Q1554" i="1" a="1"/>
  <c r="Q1554" i="1" s="1"/>
  <c r="Q1938" i="1" a="1"/>
  <c r="Q1938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5" i="1" a="1"/>
  <c r="Q1655" i="1" s="1"/>
  <c r="Q1656" i="1" a="1"/>
  <c r="Q1656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8" i="1" a="1"/>
  <c r="Q1648" i="1" s="1"/>
  <c r="Q1649" i="1" a="1"/>
  <c r="Q1649" i="1" s="1"/>
  <c r="Q1647" i="1" a="1"/>
  <c r="Q1647" i="1" s="1"/>
  <c r="Q1644" i="1" a="1"/>
  <c r="Q1644" i="1" s="1"/>
  <c r="Q1645" i="1" a="1"/>
  <c r="Q1645" i="1" s="1"/>
  <c r="Q1652" i="1" a="1"/>
  <c r="Q1652" i="1" s="1"/>
  <c r="Q1657" i="1" a="1"/>
  <c r="Q1657" i="1" s="1"/>
  <c r="Q1693" i="1" a="1"/>
  <c r="Q1693" i="1" s="1"/>
  <c r="Q1685" i="1" a="1"/>
  <c r="Q1685" i="1" s="1"/>
  <c r="Q1686" i="1" a="1"/>
  <c r="Q1686" i="1" s="1"/>
  <c r="Q1674" i="1" a="1"/>
  <c r="Q1674" i="1" s="1"/>
  <c r="Q1641" i="1" a="1"/>
  <c r="Q1641" i="1" s="1"/>
  <c r="Q1642" i="1" a="1"/>
  <c r="Q1642" i="1" s="1"/>
  <c r="Q1665" i="1" a="1"/>
  <c r="Q1665" i="1" s="1"/>
  <c r="Q1666" i="1" a="1"/>
  <c r="Q1666" i="1" s="1"/>
  <c r="Q1667" i="1" a="1"/>
  <c r="Q1667" i="1" s="1"/>
  <c r="Q1668" i="1" a="1"/>
  <c r="Q1668" i="1" s="1"/>
  <c r="Q1671" i="1" a="1"/>
  <c r="Q1671" i="1" s="1"/>
  <c r="Q1673" i="1" a="1"/>
  <c r="Q1673" i="1" s="1"/>
  <c r="Q1677" i="1" a="1"/>
  <c r="Q1677" i="1" s="1"/>
  <c r="Q1675" i="1" a="1"/>
  <c r="Q1675" i="1" s="1"/>
  <c r="Q1672" i="1" a="1"/>
  <c r="Q1672" i="1" s="1"/>
  <c r="Q1669" i="1" a="1"/>
  <c r="Q1669" i="1" s="1"/>
  <c r="Q1670" i="1" a="1"/>
  <c r="Q1670" i="1" s="1"/>
  <c r="Q1694" i="1" a="1"/>
  <c r="Q1694" i="1" s="1"/>
  <c r="Q1706" i="1" a="1"/>
  <c r="Q1706" i="1" s="1"/>
  <c r="Q1663" i="1" a="1"/>
  <c r="Q1663" i="1" s="1"/>
  <c r="Q1687" i="1" a="1"/>
  <c r="Q1687" i="1" s="1"/>
  <c r="Q1658" i="1" a="1"/>
  <c r="Q1658" i="1" s="1"/>
  <c r="Q1700" i="1" a="1"/>
  <c r="Q1700" i="1" s="1"/>
  <c r="Q1701" i="1" a="1"/>
  <c r="Q1701" i="1" s="1"/>
  <c r="Q1699" i="1" a="1"/>
  <c r="Q1699" i="1" s="1"/>
  <c r="Q1696" i="1" a="1"/>
  <c r="Q1696" i="1" s="1"/>
  <c r="Q1697" i="1" a="1"/>
  <c r="Q1697" i="1" s="1"/>
  <c r="Q1703" i="1" a="1"/>
  <c r="Q1703" i="1" s="1"/>
  <c r="Q1698" i="1" a="1"/>
  <c r="Q1698" i="1" s="1"/>
  <c r="Q1704" i="1" a="1"/>
  <c r="Q1704" i="1" s="1"/>
  <c r="Q1705" i="1" a="1"/>
  <c r="Q1705" i="1" s="1"/>
  <c r="Q1702" i="1" a="1"/>
  <c r="Q1702" i="1" s="1"/>
  <c r="Q1692" i="1" a="1"/>
  <c r="Q1692" i="1" s="1"/>
  <c r="Q1679" i="1" a="1"/>
  <c r="Q1679" i="1" s="1"/>
  <c r="Q1678" i="1" a="1"/>
  <c r="Q1678" i="1" s="1"/>
  <c r="Q1681" i="1" a="1"/>
  <c r="Q1681" i="1" s="1"/>
  <c r="Q1680" i="1" a="1"/>
  <c r="Q1680" i="1" s="1"/>
  <c r="Q1682" i="1" a="1"/>
  <c r="Q1682" i="1" s="1"/>
  <c r="Q1688" i="1" a="1"/>
  <c r="Q1688" i="1" s="1"/>
  <c r="Q1643" i="1" a="1"/>
  <c r="Q1643" i="1" s="1"/>
  <c r="Q1651" i="1" a="1"/>
  <c r="Q1651" i="1" s="1"/>
  <c r="Q1695" i="1" a="1"/>
  <c r="Q1695" i="1" s="1"/>
  <c r="Q2068" i="1" a="1"/>
  <c r="Q2068" i="1" s="1"/>
  <c r="Q1664" i="1" a="1"/>
  <c r="Q1664" i="1" s="1"/>
  <c r="Q1660" i="1" a="1"/>
  <c r="Q1660" i="1" s="1"/>
  <c r="Q1659" i="1" a="1"/>
  <c r="Q1659" i="1" s="1"/>
  <c r="Q1662" i="1" a="1"/>
  <c r="Q1662" i="1" s="1"/>
  <c r="Q1661" i="1" a="1"/>
  <c r="Q1661" i="1" s="1"/>
  <c r="Q1933" i="1" a="1"/>
  <c r="Q1933" i="1" s="1"/>
  <c r="Q2082" i="1" a="1"/>
  <c r="Q2082" i="1" s="1"/>
  <c r="Q2084" i="1" a="1"/>
  <c r="Q2084" i="1" s="1"/>
  <c r="Q2077" i="1" a="1"/>
  <c r="Q2077" i="1" s="1"/>
  <c r="Q2083" i="1" a="1"/>
  <c r="Q2083" i="1" s="1"/>
  <c r="Q2081" i="1" a="1"/>
  <c r="Q2081" i="1" s="1"/>
  <c r="Q1650" i="1" a="1"/>
  <c r="Q1650" i="1" s="1"/>
  <c r="Q1947" i="1" a="1"/>
  <c r="Q1947" i="1" s="1"/>
  <c r="Q1942" i="1" a="1"/>
  <c r="Q1942" i="1" s="1"/>
  <c r="Q2061" i="1" a="1"/>
  <c r="Q2061" i="1" s="1"/>
  <c r="Q1708" i="1" a="1"/>
  <c r="Q1708" i="1" s="1"/>
  <c r="Q1719" i="1" a="1"/>
  <c r="Q1719" i="1" s="1"/>
  <c r="Q1738" i="1" a="1"/>
  <c r="Q1738" i="1" s="1"/>
  <c r="Q1929" i="1" a="1"/>
  <c r="Q1929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16" i="1" a="1"/>
  <c r="Q1716" i="1" s="1"/>
  <c r="Q1709" i="1" a="1"/>
  <c r="Q1709" i="1" s="1"/>
  <c r="Q1710" i="1" a="1"/>
  <c r="Q1710" i="1" s="1"/>
  <c r="Q1752" i="1" a="1"/>
  <c r="Q1752" i="1" s="1"/>
  <c r="Q1739" i="1" a="1"/>
  <c r="Q1739" i="1" s="1"/>
  <c r="Q1744" i="1" a="1"/>
  <c r="Q1744" i="1" s="1"/>
  <c r="Q1755" i="1" a="1"/>
  <c r="Q1755" i="1" s="1"/>
  <c r="Q1750" i="1" a="1"/>
  <c r="Q1750" i="1" s="1"/>
  <c r="Q1751" i="1" a="1"/>
  <c r="Q1751" i="1" s="1"/>
  <c r="Q1754" i="1" a="1"/>
  <c r="Q1754" i="1" s="1"/>
  <c r="Q1747" i="1" a="1"/>
  <c r="Q1747" i="1" s="1"/>
  <c r="Q1741" i="1" a="1"/>
  <c r="Q1741" i="1" s="1"/>
  <c r="Q1740" i="1" a="1"/>
  <c r="Q1740" i="1" s="1"/>
  <c r="Q1757" i="1" a="1"/>
  <c r="Q1757" i="1" s="1"/>
  <c r="Q1758" i="1" a="1"/>
  <c r="Q1758" i="1" s="1"/>
  <c r="Q1756" i="1" a="1"/>
  <c r="Q1756" i="1" s="1"/>
  <c r="Q1759" i="1" a="1"/>
  <c r="Q1759" i="1" s="1"/>
  <c r="Q1743" i="1" a="1"/>
  <c r="Q1743" i="1" s="1"/>
  <c r="Q1742" i="1" a="1"/>
  <c r="Q1742" i="1" s="1"/>
  <c r="Q1745" i="1" a="1"/>
  <c r="Q1745" i="1" s="1"/>
  <c r="Q1735" i="1" a="1"/>
  <c r="Q1735" i="1" s="1"/>
  <c r="Q1724" i="1" a="1"/>
  <c r="Q1724" i="1" s="1"/>
  <c r="Q1734" i="1" a="1"/>
  <c r="Q1734" i="1" s="1"/>
  <c r="Q1725" i="1" a="1"/>
  <c r="Q1725" i="1" s="1"/>
  <c r="Q1731" i="1" a="1"/>
  <c r="Q1731" i="1" s="1"/>
  <c r="Q2046" i="1" a="1"/>
  <c r="Q2046" i="1" s="1"/>
  <c r="Q1726" i="1" a="1"/>
  <c r="Q1726" i="1" s="1"/>
  <c r="Q1728" i="1" a="1"/>
  <c r="Q1728" i="1" s="1"/>
  <c r="Q1730" i="1" a="1"/>
  <c r="Q1730" i="1" s="1"/>
  <c r="Q2012" i="1" a="1"/>
  <c r="Q2012" i="1" s="1"/>
  <c r="Q1723" i="1" a="1"/>
  <c r="Q1723" i="1" s="1"/>
  <c r="Q1729" i="1" a="1"/>
  <c r="Q1729" i="1" s="1"/>
  <c r="Q1732" i="1" a="1"/>
  <c r="Q1732" i="1" s="1"/>
  <c r="Q1727" i="1" a="1"/>
  <c r="Q1727" i="1" s="1"/>
  <c r="Q1944" i="1" a="1"/>
  <c r="Q1944" i="1" s="1"/>
  <c r="Q1721" i="1" a="1"/>
  <c r="Q1721" i="1" s="1"/>
  <c r="Q1941" i="1" a="1"/>
  <c r="Q1941" i="1" s="1"/>
  <c r="Q1943" i="1" a="1"/>
  <c r="Q1943" i="1" s="1"/>
  <c r="Q1761" i="1" a="1"/>
  <c r="Q1761" i="1" s="1"/>
  <c r="Q1763" i="1" a="1"/>
  <c r="Q1763" i="1" s="1"/>
  <c r="Q1762" i="1" a="1"/>
  <c r="Q1762" i="1" s="1"/>
  <c r="Q1749" i="1" a="1"/>
  <c r="Q1749" i="1" s="1"/>
  <c r="Q2065" i="1" a="1"/>
  <c r="Q2065" i="1" s="1"/>
  <c r="Q2088" i="1" a="1"/>
  <c r="Q2088" i="1" s="1"/>
  <c r="Q1765" i="1" a="1"/>
  <c r="Q1765" i="1" s="1"/>
  <c r="Q1781" i="1" a="1"/>
  <c r="Q1781" i="1" s="1"/>
  <c r="Q1785" i="1" a="1"/>
  <c r="Q1785" i="1" s="1"/>
  <c r="Q1783" i="1" a="1"/>
  <c r="Q1783" i="1" s="1"/>
  <c r="Q1784" i="1" a="1"/>
  <c r="Q1784" i="1" s="1"/>
  <c r="Q1782" i="1" a="1"/>
  <c r="Q1782" i="1" s="1"/>
  <c r="Q1786" i="1" a="1"/>
  <c r="Q1786" i="1" s="1"/>
  <c r="Q1769" i="1" a="1"/>
  <c r="Q1769" i="1" s="1"/>
  <c r="Q1770" i="1" a="1"/>
  <c r="Q1770" i="1" s="1"/>
  <c r="Q1771" i="1" a="1"/>
  <c r="Q1771" i="1" s="1"/>
  <c r="Q1768" i="1" a="1"/>
  <c r="Q1768" i="1" s="1"/>
  <c r="Q1776" i="1" a="1"/>
  <c r="Q1776" i="1" s="1"/>
  <c r="Q1774" i="1" a="1"/>
  <c r="Q1774" i="1" s="1"/>
  <c r="Q1775" i="1" a="1"/>
  <c r="Q1775" i="1" s="1"/>
  <c r="Q1773" i="1" a="1"/>
  <c r="Q1773" i="1" s="1"/>
  <c r="Q1777" i="1" a="1"/>
  <c r="Q1777" i="1" s="1"/>
  <c r="Q1976" i="1" a="1"/>
  <c r="Q1976" i="1" s="1"/>
  <c r="Q1767" i="1" a="1"/>
  <c r="Q1767" i="1" s="1"/>
  <c r="Q1780" i="1" a="1"/>
  <c r="Q1780" i="1" s="1"/>
  <c r="Q1964" i="1" a="1"/>
  <c r="Q1964" i="1" s="1"/>
  <c r="Q1778" i="1" a="1"/>
  <c r="Q1778" i="1" s="1"/>
  <c r="Q1779" i="1" a="1"/>
  <c r="Q1779" i="1" s="1"/>
  <c r="Q1787" i="1" a="1"/>
  <c r="Q1787" i="1" s="1"/>
  <c r="Q1737" i="1" a="1"/>
  <c r="Q1737" i="1" s="1"/>
  <c r="Q1736" i="1" a="1"/>
  <c r="Q1736" i="1" s="1"/>
  <c r="D1736" i="1"/>
  <c r="I1736" i="1"/>
  <c r="D1737" i="1"/>
  <c r="I1737" i="1"/>
  <c r="D1781" i="1"/>
  <c r="D1785" i="1"/>
  <c r="D1783" i="1"/>
  <c r="D1784" i="1"/>
  <c r="D1782" i="1"/>
  <c r="D1786" i="1"/>
  <c r="D1769" i="1"/>
  <c r="D1770" i="1"/>
  <c r="D1771" i="1"/>
  <c r="D1768" i="1"/>
  <c r="D1776" i="1"/>
  <c r="D1774" i="1"/>
  <c r="D1775" i="1"/>
  <c r="D1773" i="1"/>
  <c r="D1777" i="1"/>
  <c r="D1976" i="1"/>
  <c r="D1767" i="1"/>
  <c r="D1780" i="1"/>
  <c r="D1964" i="1"/>
  <c r="D1778" i="1"/>
  <c r="D1779" i="1"/>
  <c r="D1787" i="1"/>
  <c r="I1781" i="1"/>
  <c r="I1785" i="1"/>
  <c r="I1783" i="1"/>
  <c r="I1784" i="1"/>
  <c r="I1782" i="1"/>
  <c r="I1786" i="1"/>
  <c r="I1769" i="1"/>
  <c r="I1770" i="1"/>
  <c r="I1771" i="1"/>
  <c r="I1768" i="1"/>
  <c r="I1776" i="1"/>
  <c r="I1774" i="1"/>
  <c r="I1775" i="1"/>
  <c r="I1773" i="1"/>
  <c r="I1777" i="1"/>
  <c r="I1976" i="1"/>
  <c r="I1767" i="1"/>
  <c r="I1780" i="1"/>
  <c r="I1964" i="1"/>
  <c r="I1778" i="1"/>
  <c r="I1779" i="1"/>
  <c r="I1787" i="1"/>
  <c r="D1765" i="1"/>
  <c r="I1765" i="1"/>
  <c r="D2088" i="1"/>
  <c r="I2088" i="1"/>
  <c r="D2065" i="1"/>
  <c r="I2065" i="1"/>
  <c r="D1749" i="1"/>
  <c r="I1749" i="1"/>
  <c r="D1762" i="1"/>
  <c r="I1762" i="1"/>
  <c r="D1763" i="1"/>
  <c r="I1763" i="1"/>
  <c r="D1761" i="1"/>
  <c r="I1761" i="1"/>
  <c r="D1943" i="1"/>
  <c r="I1943" i="1"/>
  <c r="D1941" i="1"/>
  <c r="I1941" i="1"/>
  <c r="I1721" i="1"/>
  <c r="D1721" i="1"/>
  <c r="D1944" i="1"/>
  <c r="I1944" i="1"/>
  <c r="D1727" i="1"/>
  <c r="I1727" i="1"/>
  <c r="D1732" i="1"/>
  <c r="I1732" i="1"/>
  <c r="D1729" i="1"/>
  <c r="I1729" i="1"/>
  <c r="D1723" i="1"/>
  <c r="I1723" i="1"/>
  <c r="D2012" i="1"/>
  <c r="I2012" i="1"/>
  <c r="D1730" i="1"/>
  <c r="I1730" i="1"/>
  <c r="D1728" i="1"/>
  <c r="I1728" i="1"/>
  <c r="D1726" i="1"/>
  <c r="I1726" i="1"/>
  <c r="D2046" i="1"/>
  <c r="I2046" i="1"/>
  <c r="D1731" i="1"/>
  <c r="I1731" i="1"/>
  <c r="D1725" i="1"/>
  <c r="I1725" i="1"/>
  <c r="D1734" i="1"/>
  <c r="I1734" i="1"/>
  <c r="I1724" i="1"/>
  <c r="I1735" i="1"/>
  <c r="D1735" i="1"/>
  <c r="D1745" i="1"/>
  <c r="I1745" i="1"/>
  <c r="D1742" i="1"/>
  <c r="I1742" i="1"/>
  <c r="D1743" i="1"/>
  <c r="I1743" i="1"/>
  <c r="D1759" i="1"/>
  <c r="I1759" i="1"/>
  <c r="D1756" i="1"/>
  <c r="I1756" i="1"/>
  <c r="D1758" i="1"/>
  <c r="I1758" i="1"/>
  <c r="D1757" i="1"/>
  <c r="I1757" i="1"/>
  <c r="D1740" i="1"/>
  <c r="I1740" i="1"/>
  <c r="D1741" i="1"/>
  <c r="I1741" i="1"/>
  <c r="D1747" i="1"/>
  <c r="I1747" i="1"/>
  <c r="D1754" i="1"/>
  <c r="I1754" i="1"/>
  <c r="I1751" i="1"/>
  <c r="D1751" i="1"/>
  <c r="I1750" i="1"/>
  <c r="D1750" i="1"/>
  <c r="D1755" i="1"/>
  <c r="I1755" i="1"/>
  <c r="D1715" i="1"/>
  <c r="D1716" i="1"/>
  <c r="D1709" i="1"/>
  <c r="D1710" i="1"/>
  <c r="D1752" i="1"/>
  <c r="D1739" i="1"/>
  <c r="D1744" i="1"/>
  <c r="I1715" i="1"/>
  <c r="I1716" i="1"/>
  <c r="I1709" i="1"/>
  <c r="I1710" i="1"/>
  <c r="I1752" i="1"/>
  <c r="I1739" i="1"/>
  <c r="I1744" i="1"/>
  <c r="D1708" i="1"/>
  <c r="D1719" i="1"/>
  <c r="D1738" i="1"/>
  <c r="D1929" i="1"/>
  <c r="D1711" i="1"/>
  <c r="D1712" i="1"/>
  <c r="D1713" i="1"/>
  <c r="D1714" i="1"/>
  <c r="I1719" i="1"/>
  <c r="I1738" i="1"/>
  <c r="I1929" i="1"/>
  <c r="I1711" i="1"/>
  <c r="I1712" i="1"/>
  <c r="I1713" i="1"/>
  <c r="I1714" i="1"/>
  <c r="D2061" i="1"/>
  <c r="I2061" i="1"/>
  <c r="D1665" i="1"/>
  <c r="D1670" i="1"/>
  <c r="I1670" i="1"/>
  <c r="D2068" i="1"/>
  <c r="I2068" i="1"/>
  <c r="D1947" i="1"/>
  <c r="I1947" i="1"/>
  <c r="D1650" i="1"/>
  <c r="I1650" i="1"/>
  <c r="D1642" i="1"/>
  <c r="I1642" i="1"/>
  <c r="D1601" i="1"/>
  <c r="I1601" i="1"/>
  <c r="D1643" i="1"/>
  <c r="I1643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1" i="1"/>
  <c r="D780" i="1"/>
  <c r="D779" i="1"/>
  <c r="D757" i="1"/>
  <c r="D756" i="1"/>
  <c r="D741" i="1"/>
  <c r="D734" i="1"/>
  <c r="D732" i="1"/>
  <c r="D735" i="1"/>
  <c r="D710" i="1"/>
  <c r="D761" i="1"/>
  <c r="D776" i="1"/>
  <c r="D775" i="1"/>
  <c r="D770" i="1"/>
  <c r="D774" i="1"/>
  <c r="D773" i="1"/>
  <c r="D771" i="1"/>
  <c r="D772" i="1"/>
  <c r="D784" i="1"/>
  <c r="D785" i="1"/>
  <c r="D783" i="1"/>
  <c r="D782" i="1"/>
  <c r="D765" i="1"/>
  <c r="D709" i="1"/>
  <c r="D790" i="1"/>
  <c r="D789" i="1"/>
  <c r="D791" i="1"/>
  <c r="D788" i="1"/>
  <c r="D786" i="1"/>
  <c r="D787" i="1"/>
  <c r="D760" i="1"/>
  <c r="D777" i="1"/>
  <c r="D759" i="1"/>
  <c r="D758" i="1"/>
  <c r="D753" i="1"/>
  <c r="D754" i="1"/>
  <c r="D700" i="1"/>
  <c r="D766" i="1"/>
  <c r="D1979" i="1"/>
  <c r="D736" i="1"/>
  <c r="D738" i="1"/>
  <c r="D733" i="1"/>
  <c r="D739" i="1"/>
  <c r="D740" i="1"/>
  <c r="D737" i="1"/>
  <c r="D707" i="1"/>
  <c r="D778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6" i="1"/>
  <c r="D1462" i="1"/>
  <c r="D1487" i="1"/>
  <c r="D1459" i="1"/>
  <c r="D1477" i="1"/>
  <c r="D1458" i="1"/>
  <c r="D1488" i="1"/>
  <c r="D1483" i="1"/>
  <c r="D1482" i="1"/>
  <c r="D1484" i="1"/>
  <c r="D1457" i="1"/>
  <c r="D1480" i="1"/>
  <c r="D1479" i="1"/>
  <c r="D1478" i="1"/>
  <c r="D769" i="1"/>
  <c r="D1460" i="1"/>
  <c r="D1468" i="1"/>
  <c r="D1464" i="1"/>
  <c r="D1465" i="1"/>
  <c r="D1461" i="1"/>
  <c r="D1467" i="1"/>
  <c r="D1463" i="1"/>
  <c r="D1473" i="1"/>
  <c r="D1470" i="1"/>
  <c r="D1471" i="1"/>
  <c r="D1472" i="1"/>
  <c r="D1469" i="1"/>
  <c r="D1489" i="1"/>
  <c r="D1491" i="1"/>
  <c r="D1490" i="1"/>
  <c r="D1474" i="1"/>
  <c r="D1475" i="1"/>
  <c r="D1476" i="1"/>
  <c r="D1383" i="1"/>
  <c r="D1541" i="1"/>
  <c r="D1540" i="1"/>
  <c r="D1536" i="1"/>
  <c r="D1534" i="1"/>
  <c r="D1535" i="1"/>
  <c r="D1537" i="1"/>
  <c r="D1538" i="1"/>
  <c r="D1539" i="1"/>
  <c r="D1497" i="1"/>
  <c r="D1498" i="1"/>
  <c r="D1496" i="1"/>
  <c r="D1511" i="1"/>
  <c r="D1507" i="1"/>
  <c r="D1510" i="1"/>
  <c r="D1506" i="1"/>
  <c r="D1508" i="1"/>
  <c r="D1509" i="1"/>
  <c r="D1512" i="1"/>
  <c r="D1514" i="1"/>
  <c r="D1516" i="1"/>
  <c r="D1530" i="1"/>
  <c r="D1529" i="1"/>
  <c r="D1481" i="1"/>
  <c r="D1523" i="1"/>
  <c r="D1524" i="1"/>
  <c r="D1522" i="1"/>
  <c r="D1521" i="1"/>
  <c r="D1494" i="1"/>
  <c r="D1495" i="1"/>
  <c r="D1493" i="1"/>
  <c r="D1533" i="1"/>
  <c r="D1531" i="1"/>
  <c r="D1532" i="1"/>
  <c r="D1505" i="1"/>
  <c r="D1504" i="1"/>
  <c r="D1502" i="1"/>
  <c r="D1500" i="1"/>
  <c r="D1503" i="1"/>
  <c r="D1501" i="1"/>
  <c r="D1518" i="1"/>
  <c r="D1517" i="1"/>
  <c r="D1528" i="1"/>
  <c r="D1513" i="1"/>
  <c r="D1519" i="1"/>
  <c r="D1492" i="1"/>
  <c r="D1499" i="1"/>
  <c r="D1515" i="1"/>
  <c r="D1520" i="1"/>
  <c r="D1526" i="1"/>
  <c r="D1527" i="1"/>
  <c r="D1525" i="1"/>
  <c r="D1542" i="1"/>
  <c r="D1556" i="1"/>
  <c r="D1555" i="1"/>
  <c r="D1558" i="1"/>
  <c r="D1561" i="1"/>
  <c r="D1559" i="1"/>
  <c r="D1543" i="1"/>
  <c r="D1544" i="1"/>
  <c r="D1560" i="1"/>
  <c r="D1587" i="1"/>
  <c r="D1936" i="1"/>
  <c r="D1589" i="1"/>
  <c r="D1567" i="1"/>
  <c r="D1571" i="1"/>
  <c r="D1576" i="1"/>
  <c r="D1565" i="1"/>
  <c r="D1577" i="1"/>
  <c r="D1573" i="1"/>
  <c r="D1572" i="1"/>
  <c r="D1580" i="1"/>
  <c r="D1581" i="1"/>
  <c r="D1569" i="1"/>
  <c r="D1574" i="1"/>
  <c r="D1570" i="1"/>
  <c r="D1575" i="1"/>
  <c r="D1563" i="1"/>
  <c r="D1578" i="1"/>
  <c r="D1566" i="1"/>
  <c r="D1568" i="1"/>
  <c r="D1579" i="1"/>
  <c r="D1595" i="1"/>
  <c r="D1597" i="1"/>
  <c r="D1590" i="1"/>
  <c r="D1591" i="1"/>
  <c r="D1592" i="1"/>
  <c r="D1593" i="1"/>
  <c r="D1594" i="1"/>
  <c r="D1596" i="1"/>
  <c r="D1934" i="1"/>
  <c r="D1546" i="1"/>
  <c r="D1935" i="1"/>
  <c r="D1582" i="1"/>
  <c r="D1562" i="1"/>
  <c r="D1622" i="1"/>
  <c r="D1937" i="1"/>
  <c r="D1623" i="1"/>
  <c r="D1564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6" i="1"/>
  <c r="D1644" i="1"/>
  <c r="D1598" i="1"/>
  <c r="D1613" i="1"/>
  <c r="D1938" i="1"/>
  <c r="D1624" i="1"/>
  <c r="D1940" i="1"/>
  <c r="D2085" i="1"/>
  <c r="D1628" i="1"/>
  <c r="D1619" i="1"/>
  <c r="D1602" i="1"/>
  <c r="D1545" i="1"/>
  <c r="D1600" i="1"/>
  <c r="D1550" i="1"/>
  <c r="D1549" i="1"/>
  <c r="D1554" i="1"/>
  <c r="D1939" i="1"/>
  <c r="D1626" i="1"/>
  <c r="D1627" i="1"/>
  <c r="D1625" i="1"/>
  <c r="D1645" i="1"/>
  <c r="D1547" i="1"/>
  <c r="D1551" i="1"/>
  <c r="D1552" i="1"/>
  <c r="D1553" i="1"/>
  <c r="D1641" i="1"/>
  <c r="D1548" i="1"/>
  <c r="D1655" i="1"/>
  <c r="D1656" i="1"/>
  <c r="D1647" i="1"/>
  <c r="D1649" i="1"/>
  <c r="D1648" i="1"/>
  <c r="D1633" i="1"/>
  <c r="D1634" i="1"/>
  <c r="D1635" i="1"/>
  <c r="D1630" i="1"/>
  <c r="D1629" i="1"/>
  <c r="D1631" i="1"/>
  <c r="D1632" i="1"/>
  <c r="D1652" i="1"/>
  <c r="D1657" i="1"/>
  <c r="D1693" i="1"/>
  <c r="D1685" i="1"/>
  <c r="D1686" i="1"/>
  <c r="D1674" i="1"/>
  <c r="D1664" i="1"/>
  <c r="D1933" i="1"/>
  <c r="D1666" i="1"/>
  <c r="D1667" i="1"/>
  <c r="D1668" i="1"/>
  <c r="D1671" i="1"/>
  <c r="D1673" i="1"/>
  <c r="D1677" i="1"/>
  <c r="D1675" i="1"/>
  <c r="D1672" i="1"/>
  <c r="D1669" i="1"/>
  <c r="D1694" i="1"/>
  <c r="D1706" i="1"/>
  <c r="D1663" i="1"/>
  <c r="D1687" i="1"/>
  <c r="D1658" i="1"/>
  <c r="D1700" i="1"/>
  <c r="D1701" i="1"/>
  <c r="D1699" i="1"/>
  <c r="D1696" i="1"/>
  <c r="D1697" i="1"/>
  <c r="D1703" i="1"/>
  <c r="D1698" i="1"/>
  <c r="D1704" i="1"/>
  <c r="D1705" i="1"/>
  <c r="D1702" i="1"/>
  <c r="D1692" i="1"/>
  <c r="D1679" i="1"/>
  <c r="D1678" i="1"/>
  <c r="D1681" i="1"/>
  <c r="D1680" i="1"/>
  <c r="D1682" i="1"/>
  <c r="D1688" i="1"/>
  <c r="D2082" i="1"/>
  <c r="D2084" i="1"/>
  <c r="D1695" i="1"/>
  <c r="D2077" i="1"/>
  <c r="D2083" i="1"/>
  <c r="D1660" i="1"/>
  <c r="D1659" i="1"/>
  <c r="D1662" i="1"/>
  <c r="D1661" i="1"/>
  <c r="D2081" i="1"/>
  <c r="D1651" i="1"/>
  <c r="D1942" i="1"/>
  <c r="D9" i="1"/>
  <c r="I1942" i="1"/>
  <c r="I15" i="1"/>
  <c r="I9" i="1" l="1"/>
  <c r="I1651" i="1"/>
  <c r="I2081" i="1"/>
  <c r="I1661" i="1"/>
  <c r="I1662" i="1"/>
  <c r="I1659" i="1"/>
  <c r="I2083" i="1"/>
  <c r="I2077" i="1"/>
  <c r="I1695" i="1"/>
  <c r="I2084" i="1"/>
  <c r="I2082" i="1"/>
  <c r="I1688" i="1"/>
  <c r="I1682" i="1"/>
  <c r="I1680" i="1"/>
  <c r="I1681" i="1"/>
  <c r="I1678" i="1"/>
  <c r="I1679" i="1"/>
  <c r="I1692" i="1"/>
  <c r="I1702" i="1"/>
  <c r="I1705" i="1"/>
  <c r="I1704" i="1"/>
  <c r="I1698" i="1"/>
  <c r="I1703" i="1"/>
  <c r="I1697" i="1"/>
  <c r="I1696" i="1"/>
  <c r="I1699" i="1"/>
  <c r="I1701" i="1"/>
  <c r="I1700" i="1"/>
  <c r="I1658" i="1"/>
  <c r="I1687" i="1"/>
  <c r="I1663" i="1"/>
  <c r="I1706" i="1"/>
  <c r="I1694" i="1"/>
  <c r="I1669" i="1"/>
  <c r="I1672" i="1"/>
  <c r="I1675" i="1"/>
  <c r="I1677" i="1"/>
  <c r="I1673" i="1"/>
  <c r="I1671" i="1"/>
  <c r="I1668" i="1"/>
  <c r="I1667" i="1"/>
  <c r="I1666" i="1"/>
  <c r="I1665" i="1"/>
  <c r="I1933" i="1"/>
  <c r="I1664" i="1"/>
  <c r="I1674" i="1"/>
  <c r="I1686" i="1"/>
  <c r="I1685" i="1"/>
  <c r="I1693" i="1"/>
  <c r="I1657" i="1"/>
  <c r="I1652" i="1"/>
  <c r="I1632" i="1"/>
  <c r="I1631" i="1"/>
  <c r="I1629" i="1"/>
  <c r="I1630" i="1"/>
  <c r="I1635" i="1"/>
  <c r="I1634" i="1"/>
  <c r="I1633" i="1"/>
  <c r="I1648" i="1"/>
  <c r="I1649" i="1"/>
  <c r="I1647" i="1"/>
  <c r="I1656" i="1"/>
  <c r="I1655" i="1"/>
  <c r="I1548" i="1"/>
  <c r="I1641" i="1"/>
  <c r="I1553" i="1"/>
  <c r="I1552" i="1"/>
  <c r="I1551" i="1"/>
  <c r="I1547" i="1"/>
  <c r="I1645" i="1"/>
  <c r="I1625" i="1"/>
  <c r="I1627" i="1"/>
  <c r="I1626" i="1"/>
  <c r="I1939" i="1"/>
  <c r="I1554" i="1"/>
  <c r="I1549" i="1"/>
  <c r="I1550" i="1"/>
  <c r="I1600" i="1"/>
  <c r="I1545" i="1"/>
  <c r="I1602" i="1"/>
  <c r="I1619" i="1"/>
  <c r="I1628" i="1"/>
  <c r="I2085" i="1"/>
  <c r="I1940" i="1"/>
  <c r="I1624" i="1"/>
  <c r="I1938" i="1"/>
  <c r="I1613" i="1"/>
  <c r="I1598" i="1"/>
  <c r="I1644" i="1"/>
  <c r="I1646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4" i="1"/>
  <c r="I1623" i="1"/>
  <c r="I1937" i="1"/>
  <c r="I1622" i="1"/>
  <c r="I1562" i="1"/>
  <c r="I1582" i="1"/>
  <c r="I1935" i="1"/>
  <c r="I1546" i="1"/>
  <c r="I1934" i="1"/>
  <c r="I1596" i="1"/>
  <c r="I1594" i="1"/>
  <c r="I1593" i="1"/>
  <c r="I1592" i="1"/>
  <c r="I1591" i="1"/>
  <c r="I1590" i="1"/>
  <c r="I1597" i="1"/>
  <c r="I1595" i="1"/>
  <c r="I1579" i="1"/>
  <c r="I1568" i="1"/>
  <c r="I1566" i="1"/>
  <c r="I1578" i="1"/>
  <c r="I1563" i="1"/>
  <c r="I1575" i="1"/>
  <c r="I1570" i="1"/>
  <c r="I1574" i="1"/>
  <c r="I1569" i="1"/>
  <c r="I1581" i="1"/>
  <c r="I1580" i="1"/>
  <c r="I1572" i="1"/>
  <c r="I1573" i="1"/>
  <c r="I1577" i="1"/>
  <c r="I1565" i="1"/>
  <c r="I1576" i="1"/>
  <c r="I1571" i="1"/>
  <c r="I1567" i="1"/>
  <c r="I1589" i="1"/>
  <c r="I1936" i="1"/>
  <c r="I1587" i="1"/>
  <c r="I1560" i="1"/>
  <c r="I1544" i="1"/>
  <c r="I1543" i="1"/>
  <c r="I1559" i="1"/>
  <c r="I1561" i="1"/>
  <c r="I1555" i="1"/>
  <c r="I1556" i="1"/>
  <c r="I1542" i="1"/>
  <c r="I1525" i="1"/>
  <c r="I1527" i="1"/>
  <c r="I1526" i="1"/>
  <c r="I1520" i="1"/>
  <c r="I1515" i="1"/>
  <c r="I1499" i="1"/>
  <c r="I1492" i="1"/>
  <c r="I1519" i="1"/>
  <c r="I1513" i="1"/>
  <c r="I1528" i="1"/>
  <c r="I1517" i="1"/>
  <c r="I1518" i="1"/>
  <c r="I1501" i="1"/>
  <c r="I1503" i="1"/>
  <c r="I1500" i="1"/>
  <c r="I1502" i="1"/>
  <c r="I1504" i="1"/>
  <c r="I1505" i="1"/>
  <c r="I1532" i="1"/>
  <c r="I1531" i="1"/>
  <c r="I1533" i="1"/>
  <c r="I1493" i="1"/>
  <c r="I1495" i="1"/>
  <c r="I1494" i="1"/>
  <c r="I1521" i="1"/>
  <c r="I1522" i="1"/>
  <c r="I1524" i="1"/>
  <c r="I1523" i="1"/>
  <c r="I1481" i="1"/>
  <c r="I1529" i="1"/>
  <c r="I1530" i="1"/>
  <c r="I1516" i="1"/>
  <c r="I1514" i="1"/>
  <c r="I1512" i="1"/>
  <c r="I1509" i="1"/>
  <c r="I1508" i="1"/>
  <c r="I1506" i="1"/>
  <c r="I1510" i="1"/>
  <c r="I1507" i="1"/>
  <c r="I1511" i="1"/>
  <c r="I1496" i="1"/>
  <c r="I1498" i="1"/>
  <c r="I1497" i="1"/>
  <c r="I1539" i="1"/>
  <c r="I1538" i="1"/>
  <c r="I1537" i="1"/>
  <c r="I1535" i="1"/>
  <c r="I1534" i="1"/>
  <c r="I1536" i="1"/>
  <c r="I1540" i="1"/>
  <c r="I1541" i="1"/>
  <c r="I1383" i="1"/>
  <c r="I1476" i="1"/>
  <c r="I1475" i="1"/>
  <c r="I1474" i="1"/>
  <c r="I1490" i="1"/>
  <c r="I1491" i="1"/>
  <c r="I1489" i="1"/>
  <c r="I1469" i="1"/>
  <c r="I1472" i="1"/>
  <c r="I1471" i="1"/>
  <c r="I1470" i="1"/>
  <c r="I1473" i="1"/>
  <c r="I1463" i="1"/>
  <c r="I1467" i="1"/>
  <c r="I1461" i="1"/>
  <c r="I1465" i="1"/>
  <c r="I1464" i="1"/>
  <c r="I1468" i="1"/>
  <c r="I1460" i="1"/>
  <c r="I1478" i="1"/>
  <c r="I1479" i="1"/>
  <c r="I1480" i="1"/>
  <c r="I1457" i="1"/>
  <c r="I1484" i="1"/>
  <c r="I1482" i="1"/>
  <c r="I1483" i="1"/>
  <c r="I1488" i="1"/>
  <c r="I1458" i="1"/>
  <c r="I1477" i="1"/>
  <c r="I1459" i="1"/>
  <c r="I1487" i="1"/>
  <c r="I1462" i="1"/>
  <c r="I1466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8" i="1"/>
  <c r="I707" i="1"/>
  <c r="I737" i="1"/>
  <c r="I740" i="1"/>
  <c r="I739" i="1"/>
  <c r="I733" i="1"/>
  <c r="I738" i="1"/>
  <c r="I736" i="1"/>
  <c r="I1979" i="1"/>
  <c r="I766" i="1"/>
  <c r="I700" i="1"/>
  <c r="I754" i="1"/>
  <c r="I753" i="1"/>
  <c r="I758" i="1"/>
  <c r="I759" i="1"/>
  <c r="I777" i="1"/>
  <c r="I760" i="1"/>
  <c r="I787" i="1"/>
  <c r="I786" i="1"/>
  <c r="I788" i="1"/>
  <c r="I791" i="1"/>
  <c r="I789" i="1"/>
  <c r="I790" i="1"/>
  <c r="I709" i="1"/>
  <c r="I765" i="1"/>
  <c r="I782" i="1"/>
  <c r="I783" i="1"/>
  <c r="I785" i="1"/>
  <c r="I784" i="1"/>
  <c r="I772" i="1"/>
  <c r="I771" i="1"/>
  <c r="I773" i="1"/>
  <c r="I774" i="1"/>
  <c r="I770" i="1"/>
  <c r="I775" i="1"/>
  <c r="I776" i="1"/>
  <c r="I761" i="1"/>
  <c r="I710" i="1"/>
  <c r="I735" i="1"/>
  <c r="I732" i="1"/>
  <c r="I734" i="1"/>
  <c r="I741" i="1"/>
  <c r="I756" i="1"/>
  <c r="I757" i="1"/>
  <c r="I779" i="1"/>
  <c r="I780" i="1"/>
  <c r="I781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<sst xmlns="http://schemas.openxmlformats.org/spreadsheetml/2006/main" count="16239" uniqueCount="5116">
  <si>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</si>
  <si>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</si>
  <si>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</si>
  <si>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</si>
  <si>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</si>
  <si>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</si>
  <si>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</si>
  <si>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</si>
  <si>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</si>
  <si>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</si>
  <si>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</si>
  <si>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</si>
  <si>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</si>
  <si>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</si>
  <si>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</si>
  <si>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</si>
  <si>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</si>
  <si>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</si>
  <si>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</si>
  <si>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</si>
  <si>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</si>
  <si>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</si>
  <si>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</si>
  <si>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</si>
  <si>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</si>
  <si>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</si>
  <si>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</si>
  <si>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</si>
  <si>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</si>
  <si>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</si>
  <si>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</si>
  <si>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</si>
  <si>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</si>
  <si>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</si>
  <si>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</si>
  <si>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</si>
  <si>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</si>
  <si>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</si>
  <si>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</si>
  <si>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</si>
  <si>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</si>
  <si>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</si>
  <si>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</si>
  <si>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</si>
  <si>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</si>
  <si>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</si>
  <si>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</si>
  <si>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</si>
  <si>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</si>
  <si>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</si>
  <si>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</si>
  <si>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</si>
  <si>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</si>
  <si>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</si>
  <si>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</si>
  <si>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</si>
  <si>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</si>
  <si>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</si>
  <si>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</si>
  <si>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</si>
  <si>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</si>
  <si>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</si>
  <si>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</si>
  <si>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</si>
  <si>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</si>
  <si>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</si>
  <si>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</si>
  <si>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</si>
  <si>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</si>
  <si>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</si>
  <si>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</si>
  <si>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</si>
  <si>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</si>
  <si>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</si>
  <si>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</si>
  <si>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</si>
  <si>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</si>
  <si>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</si>
  <si>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</si>
  <si>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</si>
  <si>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</si>
  <si>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</si>
  <si>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</si>
  <si>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</si>
  <si>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</si>
  <si>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</si>
  <si>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</si>
  <si>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</si>
  <si>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</si>
  <si>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</si>
  <si>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</si>
  <si>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</si>
  <si>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</si>
  <si>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</si>
  <si>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</si>
  <si>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</si>
  <si>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</si>
  <si>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</si>
  <si>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</si>
  <si>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</si>
  <si>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</si>
  <si>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</si>
  <si>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</si>
  <si>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</si>
  <si>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</si>
  <si>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</si>
  <si>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</si>
  <si>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</si>
  <si>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</si>
  <si>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</si>
  <si>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</si>
  <si>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</si>
  <si>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</si>
  <si>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</si>
  <si>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</si>
  <si>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</si>
  <si>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</si>
  <si>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</si>
  <si>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</si>
  <si>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</si>
  <si>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</si>
  <si>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</si>
  <si>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</si>
  <si>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</si>
  <si>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</si>
  <si>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</si>
  <si>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</si>
  <si>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</si>
  <si>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</si>
  <si>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</si>
  <si>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</si>
  <si>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</si>
  <si>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</si>
  <si>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</si>
  <si>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</si>
  <si>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</si>
  <si>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</si>
  <si>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</si>
  <si>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</si>
  <si>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</si>
  <si>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</si>
  <si>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</si>
  <si>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</si>
  <si>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</si>
  <si>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</si>
  <si>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</si>
  <si>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</si>
  <si>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</si>
  <si>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</si>
  <si>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</si>
  <si>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</si>
  <si>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</si>
  <si>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</si>
  <si>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</si>
  <si>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</si>
  <si>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</si>
  <si>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</si>
  <si>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</si>
  <si>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</si>
  <si>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</si>
  <si>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</si>
  <si>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</si>
  <si>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</si>
  <si>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</si>
  <si>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</si>
  <si>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</si>
  <si>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</si>
  <si>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</si>
  <si>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</si>
  <si>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</si>
  <si>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</si>
  <si>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</si>
  <si>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</si>
  <si>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</si>
  <si>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</si>
  <si>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</si>
  <si>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</si>
  <si>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</si>
  <si>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</si>
  <si>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</si>
  <si>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</si>
  <si>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</si>
  <si>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</si>
  <si>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</si>
  <si>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</si>
  <si>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</si>
  <si>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</si>
  <si>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</si>
  <si>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</si>
  <si>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</si>
  <si>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</si>
  <si>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</si>
  <si>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</si>
  <si>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</si>
  <si>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</si>
  <si>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</si>
  <si>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</si>
  <si>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</si>
  <si>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</si>
  <si>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</si>
  <si>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</si>
  <si>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</si>
  <si>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</si>
  <si>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</si>
  <si>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</si>
  <si>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</si>
  <si>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</si>
  <si>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</si>
  <si>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</si>
  <si>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</si>
  <si>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</si>
  <si>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</si>
  <si>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</si>
  <si>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</si>
  <si>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</si>
  <si>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</si>
  <si>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</si>
  <si>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</si>
  <si>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</si>
  <si>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</si>
  <si>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</si>
  <si>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</si>
  <si>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</si>
  <si>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</si>
  <si>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</si>
  <si>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</si>
  <si>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</si>
  <si>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</si>
  <si>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</si>
  <si>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</si>
  <si>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</si>
  <si>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</si>
  <si>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</si>
  <si>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</si>
  <si>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</si>
  <si>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</si>
  <si>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</si>
  <si>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</si>
  <si>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</si>
  <si>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</si>
  <si>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</si>
  <si>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</si>
  <si>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</si>
  <si>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</si>
  <si>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</si>
  <si>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</si>
  <si>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</si>
  <si>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</si>
  <si>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</si>
  <si>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</si>
  <si>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</si>
  <si>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</si>
  <si>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</si>
  <si>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</si>
  <si>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</si>
  <si>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</si>
  <si>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</si>
  <si>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</si>
  <si>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</si>
  <si>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</si>
  <si>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</si>
  <si>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</si>
  <si>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</si>
  <si>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</si>
  <si>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</si>
  <si>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</si>
  <si>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</si>
  <si>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</si>
  <si>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</si>
  <si>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</si>
  <si>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</si>
  <si>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</si>
  <si>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</si>
  <si>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</si>
  <si>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</si>
  <si>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</si>
  <si>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</si>
  <si>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</si>
  <si>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</si>
  <si>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</si>
  <si>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</si>
  <si>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</si>
  <si>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</si>
  <si>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</si>
  <si>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</si>
  <si>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</si>
  <si>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</si>
  <si>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</si>
  <si>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</si>
  <si>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</si>
  <si>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</si>
  <si>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</si>
  <si>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</si>
  <si>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</si>
  <si>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</si>
  <si>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</si>
  <si>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</si>
  <si>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</si>
  <si>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</si>
  <si>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</si>
  <si>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</si>
  <si>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</si>
  <si>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</si>
  <si>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</si>
  <si>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</si>
  <si>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</si>
  <si>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</si>
  <si>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</si>
  <si>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</si>
  <si>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</si>
  <si>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</si>
  <si>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</si>
  <si>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</si>
  <si>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</si>
  <si>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</si>
  <si>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</si>
  <si>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</si>
  <si>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</si>
  <si>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</si>
  <si>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</si>
  <si>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</si>
  <si>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</si>
  <si>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</si>
  <si>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</si>
  <si>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</si>
  <si>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</si>
  <si>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</si>
  <si>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</si>
  <si>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</si>
  <si>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</si>
  <si>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</si>
  <si>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</si>
  <si>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</si>
  <si>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</si>
  <si>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</si>
  <si>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</si>
  <si>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</si>
  <si>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</si>
  <si>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</si>
  <si>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</si>
  <si>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</si>
  <si>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</si>
  <si>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</si>
  <si>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</si>
  <si>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</si>
  <si>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</si>
  <si>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</si>
  <si>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</si>
  <si>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</si>
  <si>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</si>
  <si>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</si>
  <si>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</si>
  <si>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</si>
  <si>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</si>
  <si>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</si>
  <si>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</si>
  <si>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</si>
  <si>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</si>
  <si>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</si>
  <si>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</si>
  <si>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</si>
  <si>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</si>
  <si>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</si>
  <si>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</si>
  <si>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</si>
  <si>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</si>
  <si>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</si>
  <si>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</si>
  <si>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</si>
  <si>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</si>
  <si>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</si>
  <si>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</si>
  <si>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</si>
  <si>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</si>
  <si>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</si>
  <si>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</si>
  <si>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</si>
  <si>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</si>
  <si>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</si>
  <si>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</si>
  <si>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</si>
  <si>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</si>
  <si>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</si>
  <si>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</si>
  <si>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</si>
  <si>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</si>
  <si>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</si>
  <si>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</si>
  <si>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</si>
  <si>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</si>
  <si>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</si>
  <si>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</si>
  <si>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</si>
  <si>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</si>
  <si>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</si>
  <si>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</si>
  <si>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</si>
  <si>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</si>
  <si>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</si>
  <si>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</si>
  <si>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</si>
  <si>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</si>
  <si>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</si>
  <si>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</si>
  <si>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</si>
  <si>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</si>
  <si>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</si>
  <si>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</si>
  <si>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</si>
  <si>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</si>
  <si>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</si>
  <si>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</si>
  <si>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</si>
  <si>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</si>
  <si>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</si>
  <si>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</si>
  <si>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</si>
  <si>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</si>
  <si>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</si>
  <si>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</si>
  <si>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</si>
  <si>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</si>
  <si>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</si>
  <si>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</si>
  <si>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</si>
  <si>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</si>
  <si>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</si>
  <si>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</si>
  <si>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</si>
  <si>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</si>
  <si>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</si>
  <si>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</si>
  <si>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</si>
  <si>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</si>
  <si>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</si>
  <si>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</si>
  <si>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</si>
  <si>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</si>
  <si>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</si>
  <si>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</si>
  <si>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</si>
  <si>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</si>
  <si>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</si>
  <si>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</si>
  <si>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</si>
  <si>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</si>
  <si>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</si>
  <si>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</si>
  <si>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</si>
  <si>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</si>
  <si>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</si>
  <si>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</si>
  <si>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</si>
  <si>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</si>
  <si>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</si>
  <si>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</si>
  <si>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</si>
  <si>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</si>
  <si>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</si>
  <si>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</si>
  <si>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</si>
  <si>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</si>
  <si>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</si>
  <si>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</si>
  <si>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</si>
  <si>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</si>
  <si>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</si>
  <si>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</si>
  <si>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</si>
  <si>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</si>
  <si>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</si>
  <si>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</si>
  <si>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</si>
  <si>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</si>
  <si>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</si>
  <si>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</si>
  <si>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</si>
  <si>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</si>
  <si>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</si>
  <si>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</si>
  <si>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</si>
  <si>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</si>
  <si>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</si>
  <si>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</si>
  <si>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</si>
  <si>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</si>
  <si>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</si>
  <si>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</si>
  <si>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</si>
  <si>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</si>
  <si>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</si>
  <si>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</si>
  <si>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</si>
  <si>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</si>
  <si>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</si>
  <si>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</si>
  <si>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</si>
  <si>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</si>
  <si>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</si>
  <si>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</si>
  <si>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</si>
  <si>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</si>
  <si>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</si>
  <si>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</si>
  <si>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</si>
  <si>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</si>
  <si>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</si>
  <si>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</si>
  <si>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</si>
  <si>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</si>
  <si>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</si>
  <si>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</si>
  <si>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</si>
  <si>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</si>
  <si>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</si>
  <si>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</si>
  <si>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</si>
  <si>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</si>
  <si>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</si>
  <si>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</si>
  <si>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</si>
  <si>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</si>
  <si>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</si>
  <si>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</si>
  <si>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</si>
  <si>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</si>
  <si>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</si>
  <si>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</si>
  <si>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</si>
  <si>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</si>
  <si>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</si>
  <si>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</si>
  <si>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</si>
  <si>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</si>
  <si>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</si>
  <si>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</si>
  <si>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</si>
  <si>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</si>
  <si>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</si>
  <si>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</si>
  <si>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</si>
  <si>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</si>
  <si>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</si>
  <si>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</si>
  <si>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</si>
  <si>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</si>
  <si>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</si>
  <si>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</si>
  <si>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</si>
  <si>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</si>
  <si>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</si>
  <si>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</si>
  <si>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</si>
  <si>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</si>
  <si>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</si>
  <si>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</si>
  <si>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</si>
  <si>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</si>
  <si>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</si>
  <si>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</si>
  <si>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</si>
  <si>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</si>
  <si>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</si>
  <si>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</si>
  <si>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</si>
  <si>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</si>
  <si>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</si>
  <si>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</si>
  <si>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</si>
  <si>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</si>
  <si>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</si>
  <si>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</si>
  <si>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</si>
  <si>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</si>
  <si>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</si>
  <si>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</si>
  <si>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</si>
  <si>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</si>
  <si>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</si>
  <si>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</si>
  <si>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</si>
  <si>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</si>
  <si>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</si>
  <si>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</si>
  <si>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</si>
  <si>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</si>
  <si>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</si>
  <si>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</si>
  <si>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</si>
  <si>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</si>
  <si>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</si>
  <si>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</si>
  <si>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</si>
  <si>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</si>
  <si>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</si>
  <si>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</si>
  <si>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</si>
  <si>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</si>
  <si>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</si>
  <si>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</si>
  <si>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</si>
  <si>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</si>
  <si>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</si>
  <si>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</si>
  <si>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</si>
  <si>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</si>
  <si>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</si>
  <si>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</si>
  <si>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</si>
  <si>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</si>
  <si>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</si>
  <si>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</si>
  <si>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</si>
  <si>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</si>
  <si>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</si>
  <si>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</si>
  <si>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</si>
  <si>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</si>
  <si>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</si>
  <si>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</si>
  <si>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</si>
  <si>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</si>
  <si>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</si>
  <si>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</si>
  <si>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</si>
  <si>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</si>
  <si>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</si>
  <si>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</si>
  <si>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</si>
  <si>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</si>
  <si>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</si>
  <si>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</si>
  <si>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</si>
  <si>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</si>
  <si>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</si>
  <si>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</si>
  <si>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</si>
  <si>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</si>
  <si>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</si>
  <si>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</si>
  <si>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</si>
  <si>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</si>
  <si>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</si>
  <si>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</si>
  <si>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</si>
  <si>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</si>
  <si>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</si>
  <si>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</si>
  <si>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</si>
  <si>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</si>
  <si>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</si>
  <si>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</si>
  <si>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</si>
  <si>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</si>
  <si>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</si>
  <si>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</si>
  <si>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</si>
  <si>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</si>
  <si>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</si>
  <si>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</si>
  <si>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</si>
  <si>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</si>
  <si>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</si>
  <si>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</si>
  <si>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</si>
  <si>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</si>
  <si>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</si>
  <si>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</si>
  <si>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</si>
  <si>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</si>
  <si>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</si>
  <si>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</si>
  <si>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</si>
  <si>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</si>
  <si>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</si>
  <si>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</si>
  <si>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</si>
  <si>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</si>
  <si>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</si>
  <si>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</si>
  <si>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</si>
  <si>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</si>
  <si>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</si>
  <si>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</si>
  <si>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</si>
  <si>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</si>
  <si>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</si>
  <si>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</si>
  <si>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</si>
  <si>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</si>
  <si>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</si>
  <si>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</si>
  <si>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</si>
  <si>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</si>
  <si>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</si>
  <si>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</si>
  <si>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</si>
  <si>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</si>
  <si>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</si>
  <si>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</si>
  <si>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</si>
  <si>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</si>
  <si>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</si>
  <si>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</si>
  <si>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</si>
  <si>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</si>
  <si>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</si>
  <si>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</si>
  <si>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</si>
  <si>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</si>
  <si>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</si>
  <si>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</si>
  <si>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</si>
  <si>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</si>
  <si>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</si>
  <si>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</si>
  <si>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</si>
  <si>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</si>
  <si>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</si>
  <si>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</si>
  <si>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</si>
  <si>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</si>
  <si>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</si>
  <si>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</si>
  <si>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</si>
  <si>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</si>
  <si>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</si>
  <si>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</si>
  <si>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</si>
  <si>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</si>
  <si>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</si>
  <si>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</si>
  <si>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</si>
  <si>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</si>
  <si>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</si>
  <si>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</si>
  <si>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</si>
  <si>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</si>
  <si>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</si>
  <si>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</si>
  <si>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</si>
  <si>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</si>
  <si>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</si>
  <si>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</si>
  <si>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</si>
  <si>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</si>
  <si>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</si>
  <si>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</si>
  <si>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</si>
  <si>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</si>
  <si>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</si>
  <si>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</si>
  <si>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</si>
  <si>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</si>
  <si>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</si>
  <si>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</si>
  <si>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</si>
  <si>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</si>
  <si>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</si>
  <si>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</si>
  <si>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</si>
  <si>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</si>
  <si>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</si>
  <si>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</si>
  <si>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</si>
  <si>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</si>
  <si>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</si>
  <si>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</si>
  <si>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</si>
  <si>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</si>
  <si>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</si>
  <si>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</si>
  <si>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</si>
  <si>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</si>
  <si>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</si>
  <si>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</si>
  <si>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</si>
  <si>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</si>
  <si>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</si>
  <si>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</si>
  <si>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</si>
  <si>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</si>
  <si>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</si>
  <si>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</si>
  <si>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</si>
  <si>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</si>
  <si>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</si>
  <si>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</si>
  <si>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</si>
  <si>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</si>
  <si>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</si>
  <si>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</si>
  <si>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</si>
  <si>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</si>
  <si>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</si>
  <si>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</si>
  <si>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</si>
  <si>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</si>
  <si>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</si>
  <si>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</si>
  <si>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</si>
  <si>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</si>
  <si>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</si>
  <si>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</si>
  <si>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</si>
  <si>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</si>
  <si>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</si>
  <si>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</si>
  <si>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</si>
  <si>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</si>
  <si>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</si>
  <si>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</si>
  <si>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</si>
  <si>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</si>
  <si>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</si>
  <si>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</si>
  <si>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</si>
  <si>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</si>
  <si>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</si>
  <si>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</si>
  <si>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</si>
  <si>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</si>
  <si>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</si>
  <si>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</si>
  <si>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</si>
  <si>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</si>
  <si>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</si>
  <si>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</si>
  <si>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</si>
  <si>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</si>
  <si>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</si>
  <si>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</si>
  <si>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</si>
  <si>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</si>
  <si>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</si>
  <si>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</si>
  <si>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</si>
  <si>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</si>
  <si>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</si>
  <si>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</si>
  <si>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</si>
  <si>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</si>
  <si>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</si>
  <si>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</si>
  <si>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</si>
  <si>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</si>
  <si>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</si>
  <si>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</si>
  <si>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</si>
  <si>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</si>
  <si>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</si>
  <si>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</si>
  <si>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</si>
  <si>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</si>
  <si>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</si>
  <si>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</si>
  <si>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</si>
  <si>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</si>
  <si>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</si>
  <si>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</si>
  <si>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</si>
  <si>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</si>
  <si>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</si>
  <si>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</si>
  <si>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</si>
  <si>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</si>
  <si>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</si>
  <si>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</si>
  <si>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</si>
  <si>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</si>
  <si>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</si>
  <si>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</si>
  <si>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</si>
  <si>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</si>
  <si>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</si>
  <si>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</si>
  <si>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</si>
  <si>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</si>
  <si>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</si>
  <si>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</si>
  <si>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</si>
  <si>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</si>
  <si>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</si>
  <si>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</si>
  <si>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</si>
  <si>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</si>
  <si>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</si>
  <si>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</si>
  <si>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</si>
  <si>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</si>
  <si>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</si>
  <si>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</si>
  <si>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</si>
  <si>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</si>
  <si>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</si>
  <si>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</si>
  <si>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</si>
  <si>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</si>
  <si>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</si>
  <si>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</si>
  <si>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</si>
  <si>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</si>
  <si>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</si>
  <si>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</si>
  <si>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</si>
  <si>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</si>
  <si>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</si>
  <si>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</si>
  <si>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</si>
  <si>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</si>
  <si>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</si>
  <si>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</si>
  <si>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</si>
  <si>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</si>
  <si>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</si>
  <si>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</si>
  <si>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</si>
  <si>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</si>
  <si>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</si>
  <si>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</si>
  <si>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</si>
  <si>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</si>
  <si>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</si>
  <si>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</si>
  <si>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</si>
  <si>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</si>
  <si>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</si>
  <si>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</si>
  <si>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</si>
  <si>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</si>
  <si>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</si>
  <si>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</si>
  <si>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</si>
  <si>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</si>
  <si>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</si>
  <si>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</si>
  <si>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</si>
  <si>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</si>
  <si>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</si>
  <si>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</si>
  <si>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</si>
  <si>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</si>
  <si>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</si>
  <si>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</si>
  <si>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</si>
  <si>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</si>
  <si>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</si>
  <si>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</si>
  <si>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</si>
  <si>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</si>
  <si>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</si>
  <si>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</si>
  <si>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</si>
  <si>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</si>
  <si>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</si>
  <si>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</si>
  <si>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</si>
  <si>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</si>
  <si>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</si>
  <si>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</si>
  <si>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</si>
  <si>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</si>
  <si>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</si>
  <si>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</si>
  <si>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</si>
  <si>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</si>
  <si>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</si>
  <si>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</si>
  <si>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</si>
  <si>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</si>
  <si>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</si>
  <si>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</si>
  <si>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</si>
  <si>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</si>
  <si>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</si>
  <si>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</si>
  <si>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</si>
  <si>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</si>
  <si>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</si>
  <si>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</si>
  <si>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</si>
  <si>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</si>
  <si>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</si>
  <si>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</si>
  <si>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</si>
  <si>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</si>
  <si>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</si>
  <si>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</si>
  <si>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</si>
  <si>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</si>
  <si>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</si>
  <si>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</si>
  <si>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</si>
  <si>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</si>
  <si>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</si>
  <si>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</si>
  <si>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</si>
  <si>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</si>
  <si>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</si>
  <si>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</si>
  <si>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</si>
  <si>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</si>
  <si>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</si>
  <si>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</si>
  <si>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</si>
  <si>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</si>
  <si>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</si>
  <si>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</si>
  <si>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</si>
  <si>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</si>
  <si>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</si>
  <si>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</si>
  <si>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</si>
  <si>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</si>
  <si>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</si>
  <si>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</si>
  <si>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</si>
  <si>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</si>
  <si>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</si>
  <si>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</si>
  <si>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</si>
  <si>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</si>
  <si>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</si>
  <si>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</si>
  <si>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</si>
  <si>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</si>
  <si>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</si>
  <si>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</si>
  <si>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</si>
  <si>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</si>
  <si>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</si>
  <si>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</si>
  <si>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</si>
  <si>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</si>
  <si>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</si>
  <si>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</si>
  <si>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</si>
  <si>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</si>
  <si>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</si>
  <si>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</si>
  <si>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</si>
  <si>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</si>
  <si>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</si>
  <si>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</si>
  <si>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</si>
  <si>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</si>
  <si>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</si>
  <si>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</si>
  <si>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</si>
  <si>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</si>
  <si>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</si>
  <si>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</si>
  <si>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</si>
  <si>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</si>
  <si>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</si>
  <si>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</si>
  <si>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</si>
  <si>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</si>
  <si>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</si>
  <si>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</si>
  <si>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</si>
  <si>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</si>
  <si>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</si>
  <si>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</si>
  <si>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</si>
  <si>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</si>
  <si>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</si>
  <si>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</si>
  <si>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</si>
  <si>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</si>
  <si>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</si>
  <si>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</si>
  <si>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</si>
  <si>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</si>
  <si>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</si>
  <si>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</si>
  <si>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</si>
  <si>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</si>
  <si>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</si>
  <si>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</si>
  <si>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</si>
  <si>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</si>
  <si>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</si>
  <si>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</si>
  <si>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</si>
  <si>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</si>
  <si>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</si>
  <si>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</si>
  <si>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</si>
  <si>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</si>
  <si>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</si>
  <si>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</si>
  <si>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</si>
  <si>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</si>
  <si>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</si>
  <si>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</si>
  <si>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</si>
  <si>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</si>
  <si>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</si>
  <si>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</si>
  <si>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</si>
  <si>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</si>
  <si>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</si>
  <si>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</si>
  <si>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</si>
  <si>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</si>
  <si>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</si>
  <si>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</si>
  <si>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</si>
  <si>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</si>
  <si>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</si>
  <si>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</si>
  <si>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</si>
  <si>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</si>
  <si>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</si>
  <si>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</si>
  <si>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</si>
  <si>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</si>
  <si>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</si>
  <si>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</si>
  <si>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</si>
  <si>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</si>
  <si>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</si>
  <si>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</si>
  <si>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</si>
  <si>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</si>
  <si>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</si>
  <si>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</si>
  <si>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</si>
  <si>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</si>
  <si>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</si>
  <si>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</si>
  <si>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</si>
  <si>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</si>
  <si>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</si>
  <si>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</si>
  <si>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</si>
  <si>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</si>
  <si>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</si>
  <si>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</si>
  <si>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</si>
  <si>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</si>
  <si>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</si>
  <si>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</si>
  <si>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</si>
  <si>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</si>
  <si>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</si>
  <si>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</si>
  <si>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</si>
  <si>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</si>
  <si>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</si>
  <si>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</si>
  <si>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</si>
  <si>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</si>
  <si>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</si>
  <si>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</si>
  <si>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</si>
  <si>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</si>
  <si>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</si>
  <si>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</si>
  <si>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</si>
  <si>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</si>
  <si>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</si>
  <si>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</si>
  <si>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</si>
  <si>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</si>
  <si>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</si>
  <si>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</si>
  <si>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</si>
  <si>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</si>
  <si>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</si>
  <si>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</si>
  <si>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</si>
  <si>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</si>
  <si>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</si>
  <si>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</si>
  <si>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</si>
  <si>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</si>
  <si>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</si>
  <si>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</si>
  <si>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</si>
  <si>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</si>
  <si>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</si>
  <si>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</si>
  <si>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</si>
  <si>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</si>
  <si>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</si>
  <si>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</si>
  <si>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</si>
  <si>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</si>
  <si>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</si>
  <si>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</si>
  <si>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</si>
  <si>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</si>
  <si>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</si>
  <si>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</si>
  <si>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</si>
  <si>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</si>
  <si>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</si>
  <si>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</si>
  <si>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</si>
  <si>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</si>
  <si>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</si>
  <si>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</si>
  <si>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</si>
  <si>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</si>
  <si>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</si>
  <si>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</si>
  <si>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</si>
  <si>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</si>
  <si>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</si>
  <si>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</si>
  <si>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</si>
  <si>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</si>
  <si>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</si>
  <si>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</si>
  <si>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</si>
  <si>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</si>
  <si>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</si>
  <si>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</si>
  <si>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</si>
  <si>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</si>
  <si>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</si>
  <si>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</si>
  <si>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</si>
  <si>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</si>
  <si>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</si>
  <si>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</si>
  <si>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</si>
  <si>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</si>
  <si>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</si>
  <si>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</si>
  <si>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</si>
  <si>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</si>
  <si>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</si>
  <si>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</si>
  <si>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</si>
  <si>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</si>
  <si>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</si>
  <si>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</si>
  <si>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</si>
  <si>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</si>
  <si>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</si>
  <si>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</si>
  <si>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</si>
  <si>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</si>
  <si>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</si>
  <si>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</si>
  <si>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</si>
  <si>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</si>
  <si>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</si>
  <si>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</si>
  <si>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</si>
  <si>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</si>
  <si>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</si>
  <si>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</si>
  <si>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</si>
  <si>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</si>
  <si>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</si>
  <si>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</si>
  <si>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</si>
  <si>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</si>
  <si>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</si>
  <si>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</si>
  <si>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</si>
  <si>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</si>
  <si>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</si>
  <si>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</si>
  <si>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</si>
  <si>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</si>
  <si>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</si>
  <si>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</si>
  <si>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</si>
  <si>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</si>
  <si>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</si>
  <si>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</si>
  <si>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</si>
  <si>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</si>
  <si>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</si>
  <si>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</si>
  <si>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</si>
  <si>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</si>
  <si>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</si>
  <si>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</si>
  <si>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</si>
  <si>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</si>
  <si>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</si>
  <si>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</si>
  <si>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</si>
  <si>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</si>
  <si>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</si>
  <si>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</si>
  <si>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</si>
  <si>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</si>
  <si>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</si>
  <si>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</si>
  <si>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</si>
  <si>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</si>
  <si>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</si>
  <si>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</si>
  <si>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</si>
  <si>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</si>
  <si>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</si>
  <si>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</si>
  <si>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</si>
  <si>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</si>
  <si>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</si>
  <si>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</si>
  <si>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</si>
  <si>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</si>
  <si>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</si>
  <si>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</si>
  <si>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</si>
  <si>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</si>
  <si>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</si>
  <si>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</si>
  <si>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</si>
  <si>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</si>
  <si>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</si>
  <si>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</si>
  <si>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</si>
  <si>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</si>
  <si>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</si>
  <si>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</si>
  <si>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</si>
  <si>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</si>
  <si>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</si>
  <si>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</si>
  <si>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</si>
  <si>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</si>
  <si>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</si>
  <si>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</si>
  <si>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</si>
  <si>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</si>
  <si>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</si>
  <si>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</si>
  <si>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</si>
  <si>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</si>
  <si>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</si>
  <si>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</si>
  <si>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</si>
  <si>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</si>
  <si>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</si>
  <si>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</si>
  <si>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</si>
  <si>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</si>
  <si>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</si>
  <si>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</si>
  <si>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</si>
  <si>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</si>
  <si>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</si>
  <si>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</si>
  <si>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</si>
  <si>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</si>
  <si>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</si>
  <si>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</si>
  <si>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</si>
  <si>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</si>
  <si>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</si>
  <si>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</si>
  <si>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</si>
  <si>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</si>
  <si>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</si>
  <si>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</si>
  <si>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</si>
  <si>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</si>
  <si>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</si>
  <si>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</si>
  <si>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</si>
  <si>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</si>
  <si>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</si>
  <si>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</si>
  <si>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</si>
  <si>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</si>
  <si>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</si>
  <si>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</si>
  <si>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</si>
  <si>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</si>
  <si>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</si>
  <si>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</si>
  <si>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</si>
  <si>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</si>
  <si>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</si>
  <si>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</si>
  <si>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</si>
  <si>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</si>
  <si>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</si>
  <si>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</si>
  <si>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</si>
  <si>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</si>
  <si>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</si>
  <si>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</si>
  <si>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</si>
  <si>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</si>
  <si>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</si>
  <si>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</si>
  <si>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</si>
  <si>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</si>
  <si>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</si>
  <si>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</si>
  <si>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</si>
  <si>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</si>
  <si>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</si>
  <si>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</si>
  <si>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</si>
  <si>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</si>
  <si>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</si>
  <si>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</si>
  <si>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</si>
  <si>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</si>
  <si>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</si>
  <si>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</si>
  <si>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</si>
  <si>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</si>
  <si>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</si>
  <si>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</si>
  <si>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</si>
  <si>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</si>
  <si>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</si>
  <si>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</si>
  <si>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</si>
  <si>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</si>
  <si>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</si>
  <si>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</si>
  <si>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</si>
  <si>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</si>
  <si>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</si>
  <si>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</si>
  <si>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</si>
  <si>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</si>
  <si>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</si>
  <si>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</si>
  <si>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</si>
  <si>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</si>
  <si>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</si>
  <si>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</si>
  <si>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</si>
  <si>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</si>
  <si>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</si>
  <si>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</si>
  <si>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</si>
  <si>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</si>
  <si>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</si>
  <si>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</si>
  <si>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</si>
  <si>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</si>
  <si>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</si>
  <si>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</si>
  <si>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</si>
  <si>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</si>
  <si>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</si>
  <si>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</si>
  <si>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</si>
  <si>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</si>
  <si>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</si>
  <si>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</si>
  <si>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</si>
  <si>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</si>
  <si>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</si>
  <si>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</si>
  <si>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</si>
  <si>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</si>
  <si>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</si>
  <si>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</si>
  <si>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</si>
  <si>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</si>
  <si>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</si>
  <si>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</si>
  <si>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</si>
  <si>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</si>
  <si>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</si>
  <si>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</si>
  <si>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</si>
  <si>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</si>
  <si>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</si>
  <si>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</si>
  <si>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</si>
  <si>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</si>
  <si>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</si>
  <si>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</si>
  <si>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</si>
  <si>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</si>
  <si>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</si>
  <si>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</si>
  <si>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</si>
  <si>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</si>
  <si>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</si>
  <si>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</si>
  <si>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</si>
  <si>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</si>
  <si>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</si>
  <si>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</si>
  <si>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</si>
  <si>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</si>
  <si>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</si>
  <si>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</si>
  <si>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</si>
  <si>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</si>
  <si>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</si>
  <si>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</si>
  <si>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</si>
  <si>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</si>
  <si>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</si>
  <si>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</si>
  <si>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</si>
  <si>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</si>
  <si>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</si>
  <si>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</si>
  <si>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</si>
  <si>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</si>
  <si>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</si>
  <si>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</si>
  <si>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</si>
  <si>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</si>
  <si>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</si>
  <si>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</si>
  <si>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</si>
  <si>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</si>
  <si>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</si>
  <si>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</si>
  <si>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</si>
  <si>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</si>
  <si>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</si>
  <si>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</si>
  <si>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</si>
  <si>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</si>
  <si>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</si>
  <si>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</si>
  <si>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</si>
  <si>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</si>
  <si>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</si>
  <si>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</si>
  <si>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</si>
  <si>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</si>
  <si>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</si>
  <si>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</si>
  <si>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</si>
  <si>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</si>
  <si>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</si>
  <si>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</si>
  <si>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</si>
  <si>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</si>
  <si>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</si>
  <si>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</si>
  <si>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</si>
  <si>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</si>
  <si>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</si>
  <si>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</si>
  <si>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</si>
  <si>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</si>
  <si>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</si>
  <si>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</si>
  <si>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</si>
  <si>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</si>
  <si>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</si>
  <si>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</si>
  <si>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</si>
  <si>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</si>
  <si>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</si>
  <si>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</si>
  <si>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</si>
  <si>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</si>
  <si>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</si>
  <si>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</si>
  <si>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</si>
  <si>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</si>
  <si>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</si>
  <si>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</si>
  <si>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</si>
  <si>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</si>
  <si>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</si>
  <si>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</si>
  <si>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</si>
  <si>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</si>
  <si>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</si>
  <si>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</si>
  <si>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</si>
  <si>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</si>
  <si>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</si>
  <si>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</si>
  <si>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</si>
  <si>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</si>
  <si>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</si>
  <si>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</si>
  <si>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</si>
  <si>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</si>
  <si>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</si>
  <si>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</si>
  <si>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</si>
  <si>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</si>
  <si>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</si>
  <si>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</si>
  <si>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</si>
  <si>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</si>
  <si>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</si>
  <si>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</si>
  <si>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</si>
  <si>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</si>
  <si>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</si>
  <si>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</si>
  <si>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</si>
  <si>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</si>
  <si>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</si>
  <si>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</si>
  <si>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</si>
  <si>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</si>
  <si>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</si>
  <si>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</si>
  <si>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</si>
  <si>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</si>
  <si>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</si>
  <si>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</si>
  <si>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</si>
  <si>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</si>
  <si>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</si>
  <si>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</si>
  <si>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</si>
  <si>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</si>
  <si>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</si>
  <si>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</si>
  <si>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</si>
  <si>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</si>
  <si>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</si>
  <si>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</si>
  <si>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</si>
  <si>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</si>
  <si>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</si>
  <si>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</si>
  <si>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</si>
  <si>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</si>
  <si>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</si>
  <si>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</si>
  <si>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</si>
  <si>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</si>
  <si>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</si>
  <si>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</si>
  <si>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</si>
  <si>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</si>
  <si>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</si>
  <si>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</si>
  <si>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</si>
  <si>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</si>
  <si>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</si>
  <si>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</si>
  <si>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</si>
  <si>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</si>
  <si>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</si>
  <si>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</si>
  <si>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</si>
  <si>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</si>
  <si>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</si>
  <si>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</si>
  <si>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</si>
  <si>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</si>
  <si>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</si>
  <si>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</si>
  <si>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</si>
  <si>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</si>
  <si>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</si>
  <si>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</si>
  <si>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</si>
  <si>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</si>
  <si>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</si>
  <si>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</si>
  <si>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</si>
  <si>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</si>
  <si>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</si>
  <si>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</si>
  <si>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</si>
  <si>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</si>
  <si>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</si>
  <si>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</si>
  <si>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</si>
  <si>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</si>
  <si>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</si>
  <si>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</si>
  <si>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</si>
  <si>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</si>
  <si>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</si>
  <si>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</si>
  <si>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</si>
  <si>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</si>
  <si>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</si>
  <si>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</si>
  <si>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</si>
  <si>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</si>
  <si>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</si>
  <si>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</si>
  <si>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</si>
  <si>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</si>
  <si>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</si>
  <si>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</si>
  <si>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</si>
  <si>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</si>
  <si>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</si>
  <si>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</si>
  <si>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</si>
  <si>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</si>
  <si>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</si>
  <si>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</si>
  <si>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</si>
  <si>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</si>
  <si>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</si>
  <si>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</si>
  <si>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</si>
  <si>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</si>
  <si>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</si>
  <si>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</si>
  <si>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</si>
  <si>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</si>
  <si>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</si>
  <si>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</si>
  <si>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</si>
  <si>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</si>
  <si>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</si>
  <si>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</si>
  <si>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</si>
  <si>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</si>
  <si>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</si>
  <si>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</si>
  <si>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</si>
  <si>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</si>
  <si>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</si>
  <si>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</si>
  <si>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</si>
  <si>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</si>
  <si>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</si>
  <si>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</si>
  <si>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</si>
  <si>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</si>
  <si>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</si>
  <si>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</si>
  <si>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</si>
  <si>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</si>
  <si>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</si>
  <si>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</si>
  <si>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</si>
  <si>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</si>
  <si>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</si>
  <si>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</si>
  <si>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</si>
  <si>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</si>
  <si>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</si>
  <si>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</si>
  <si>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</si>
  <si>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</si>
  <si>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</si>
  <si>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</si>
  <si>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</si>
  <si>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</si>
  <si>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</si>
  <si>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</si>
  <si>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</si>
  <si>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</si>
  <si>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</si>
  <si>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</si>
  <si>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</si>
  <si>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</si>
  <si>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</si>
  <si>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</si>
  <si>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</si>
  <si>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</si>
  <si>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</si>
  <si>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</si>
  <si>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</si>
  <si>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</si>
  <si>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</si>
  <si>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</si>
  <si>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</si>
  <si>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</si>
  <si>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</si>
  <si>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</si>
  <si>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</si>
  <si>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</si>
  <si>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</si>
  <si>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</si>
  <si>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</si>
  <si>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</si>
  <si>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</si>
  <si>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</si>
  <si>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</si>
  <si>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</si>
  <si>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</si>
  <si>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</si>
  <si>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</si>
  <si>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</si>
  <si>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</si>
  <si>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</si>
  <si>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</si>
  <si>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</si>
  <si>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</si>
  <si>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</si>
  <si>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</si>
  <si>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</si>
  <si>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</si>
  <si>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</si>
  <si>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</si>
  <si>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</si>
  <si>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</si>
  <si>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</si>
  <si>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</si>
  <si>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</si>
  <si>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</si>
  <si>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</si>
  <si>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</si>
  <si>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</si>
  <si>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</si>
  <si>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</si>
  <si>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</si>
  <si>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</si>
  <si>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</si>
  <si>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</si>
  <si>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</si>
  <si>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</si>
  <si>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</si>
  <si>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</si>
  <si>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</si>
  <si>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</si>
  <si>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</si>
  <si>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</si>
  <si>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</si>
  <si>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</si>
  <si>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</si>
  <si>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</si>
  <si>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</si>
  <si>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</si>
  <si>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</si>
  <si>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</si>
  <si>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</si>
  <si>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</si>
  <si>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</si>
  <si>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</si>
  <si>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</si>
  <si>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</si>
  <si>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</si>
  <si>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</si>
  <si>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</si>
  <si>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</si>
  <si>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</si>
  <si>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</si>
  <si>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</si>
  <si>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</si>
  <si>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</si>
  <si>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</si>
  <si>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</si>
  <si>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</si>
  <si>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</si>
  <si>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</si>
  <si>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</si>
  <si>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</si>
  <si>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</si>
  <si>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</si>
  <si>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</si>
  <si>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</si>
  <si>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</si>
  <si>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</si>
  <si>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</si>
  <si>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</si>
  <si>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</si>
  <si>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</si>
  <si>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</si>
  <si>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</si>
  <si>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</si>
  <si>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</si>
  <si>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</si>
  <si>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</si>
  <si>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</si>
  <si>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</si>
  <si>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</si>
  <si>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</si>
  <si>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</si>
  <si>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</si>
  <si>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</si>
  <si>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</si>
  <si>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</si>
  <si>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</si>
  <si>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</si>
  <si>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</si>
  <si>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</si>
  <si>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</si>
  <si>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</si>
  <si>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</si>
  <si>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</si>
  <si>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</si>
  <si>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</si>
  <si>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</si>
  <si>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</si>
  <si>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</si>
  <si>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</si>
  <si>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</si>
  <si>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</si>
  <si>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</si>
  <si>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</si>
  <si>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</si>
  <si>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</si>
  <si>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</si>
  <si>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</si>
  <si>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</si>
  <si>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</si>
  <si>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</si>
  <si>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</si>
  <si>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</si>
  <si>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</si>
  <si>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</si>
  <si>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</si>
  <si>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</si>
  <si>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</si>
  <si>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</si>
  <si>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</si>
  <si>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</si>
  <si>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</si>
  <si>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</si>
  <si>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</si>
  <si>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</si>
  <si>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</si>
  <si>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</si>
  <si>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</si>
  <si>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</si>
  <si>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</si>
  <si>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</si>
  <si>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</si>
  <si>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</si>
  <si>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</si>
  <si>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</si>
  <si>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</si>
  <si>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</si>
  <si>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</si>
  <si>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</si>
  <si>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</si>
  <si>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</si>
  <si>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</si>
  <si>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</si>
  <si>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</si>
  <si>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</si>
  <si>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</si>
  <si>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</si>
  <si>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</si>
  <si>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</si>
  <si>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</si>
  <si>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</si>
  <si>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</si>
  <si>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</si>
  <si>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</si>
  <si>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</si>
  <si>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</si>
  <si>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</si>
  <si>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</si>
  <si>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</si>
  <si>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</si>
  <si>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</si>
  <si>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</si>
  <si>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</si>
  <si>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</si>
  <si>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</si>
  <si>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</si>
  <si>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</si>
  <si>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</si>
  <si>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</si>
  <si>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</si>
  <si>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</si>
  <si>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</si>
  <si>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</si>
  <si>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</si>
  <si>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</si>
  <si>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</si>
  <si>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</si>
  <si>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</si>
  <si>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</si>
  <si>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</si>
  <si>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</si>
  <si>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</si>
  <si>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</si>
  <si>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</si>
  <si>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</si>
  <si>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</si>
  <si>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</si>
  <si>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</si>
  <si>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</si>
  <si>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</si>
  <si>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</si>
  <si>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</si>
  <si>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</si>
  <si>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</si>
  <si>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</si>
  <si>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</si>
  <si>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</si>
  <si>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</si>
  <si>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</si>
  <si>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</si>
  <si>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</si>
  <si>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</si>
  <si>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</si>
  <si>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</si>
  <si>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</si>
  <si>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</si>
  <si>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</si>
  <si>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</si>
  <si>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</si>
  <si>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</si>
  <si>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</si>
  <si>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</si>
  <si>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</si>
  <si>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</si>
  <si>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</si>
  <si>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</si>
  <si>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</si>
  <si>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</si>
  <si>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</si>
  <si>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</si>
  <si>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</si>
  <si>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</si>
  <si>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</si>
  <si>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</si>
  <si>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</si>
  <si>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</si>
  <si>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</si>
  <si>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</si>
  <si>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</si>
  <si>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</si>
  <si>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</si>
  <si>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</si>
  <si>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</si>
  <si>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</si>
  <si>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</si>
  <si>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</si>
  <si>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</si>
  <si>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</si>
  <si>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</si>
  <si>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</si>
  <si>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</si>
  <si>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</si>
  <si>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</si>
  <si>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</si>
  <si>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</si>
  <si>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</si>
  <si>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</si>
  <si>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</si>
  <si>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</si>
  <si>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</si>
  <si>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</si>
  <si>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</si>
  <si>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</si>
  <si>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</si>
  <si>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</si>
  <si>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</si>
  <si>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</si>
  <si>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</si>
  <si>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</si>
  <si>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</si>
  <si>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</si>
  <si>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</si>
  <si>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</si>
  <si>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</si>
  <si>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</si>
  <si>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</si>
  <si>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</si>
  <si>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</si>
  <si>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</si>
  <si>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</si>
  <si>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</si>
  <si>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</si>
  <si>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</si>
  <si>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</si>
  <si>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</si>
  <si>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</si>
  <si>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</si>
  <si>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</si>
  <si>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</si>
  <si>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</si>
  <si>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</si>
  <si>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</si>
  <si>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</si>
  <si>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</si>
  <si>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</si>
  <si>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</si>
  <si>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</si>
  <si>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</si>
  <si>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</si>
  <si>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</si>
  <si>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</si>
  <si>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</si>
  <si>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</si>
  <si>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</si>
  <si>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</si>
  <si>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</si>
  <si>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</si>
  <si>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</si>
  <si>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</si>
  <si>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</si>
  <si>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</si>
  <si>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</si>
  <si>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</si>
  <si>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</si>
  <si>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</si>
  <si>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</si>
  <si>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</si>
  <si>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</si>
  <si>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</si>
  <si>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</si>
  <si>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</si>
  <si>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</si>
  <si>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</si>
  <si>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</si>
  <si>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</si>
  <si>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</si>
  <si>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</si>
  <si>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</si>
  <si>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</si>
  <si>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</si>
  <si>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</si>
  <si>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</si>
  <si>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</si>
  <si>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</si>
  <si>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</si>
  <si>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</si>
  <si>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</si>
  <si>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</si>
  <si>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</si>
  <si>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</si>
  <si>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</si>
  <si>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</si>
  <si>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</si>
  <si>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</si>
  <si>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</si>
  <si>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</si>
  <si>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</si>
  <si>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</si>
  <si>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</si>
  <si>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</si>
  <si>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</si>
  <si>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</si>
  <si>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</si>
  <si>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</si>
  <si>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</si>
  <si>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</si>
  <si>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</si>
  <si>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</si>
  <si>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</si>
  <si>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</si>
  <si>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</si>
  <si>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</si>
  <si>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</si>
  <si>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</si>
  <si>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</si>
  <si>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</si>
  <si>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</si>
  <si>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</si>
  <si>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</si>
  <si>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</si>
  <si>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</si>
  <si>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</si>
  <si>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</si>
  <si>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</si>
  <si>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</si>
  <si>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</si>
  <si>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</si>
  <si>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</si>
  <si>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</si>
  <si>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</si>
  <si>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</si>
  <si>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</si>
  <si>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</si>
  <si>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</si>
  <si>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</si>
  <si>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</si>
  <si>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</si>
  <si>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</si>
  <si>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</si>
  <si>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</si>
  <si>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</si>
  <si>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</si>
  <si>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</si>
  <si>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</si>
  <si>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</si>
  <si>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</si>
  <si>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</si>
  <si>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</si>
  <si>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</si>
  <si>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</si>
  <si>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</si>
  <si>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</si>
  <si>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</si>
  <si>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</si>
  <si>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</si>
  <si>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</si>
  <si>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</si>
  <si>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</si>
  <si>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</si>
  <si>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</si>
  <si>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</si>
  <si>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</si>
  <si>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</si>
  <si>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</si>
  <si>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</si>
  <si>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</si>
  <si>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</si>
  <si>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</si>
  <si>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</si>
  <si>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</si>
  <si>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</si>
  <si>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</si>
  <si>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</si>
  <si>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</si>
  <si>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</si>
  <si>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</si>
  <si>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</si>
  <si>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</si>
  <si>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</si>
  <si>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</si>
  <si>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</si>
  <si>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</si>
  <si>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</si>
  <si>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</si>
  <si>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</si>
  <si>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</si>
  <si>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</si>
  <si>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</si>
  <si>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</si>
  <si>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</si>
  <si>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</si>
  <si>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</si>
  <si>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</si>
  <si>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</si>
  <si>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</si>
  <si>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</si>
  <si>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</si>
  <si>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</si>
  <si>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</si>
  <si>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</si>
  <si>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</si>
  <si>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</si>
  <si>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</si>
  <si>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</si>
  <si>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</si>
  <si>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</si>
  <si>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</si>
  <si>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</si>
  <si>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</si>
  <si>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</si>
  <si>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</si>
  <si>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</si>
  <si>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</si>
  <si>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</si>
  <si>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</si>
  <si>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</si>
  <si>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</si>
  <si>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</si>
  <si>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</si>
  <si>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</si>
  <si>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</si>
  <si>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</si>
  <si>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</si>
  <si>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</si>
  <si>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</si>
  <si>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</si>
  <si>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</si>
  <si>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</si>
  <si>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</si>
  <si>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</si>
  <si>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</si>
  <si>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</si>
  <si>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</si>
  <si>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</si>
  <si>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</si>
  <si>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</si>
  <si>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</si>
  <si>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</si>
  <si>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</si>
  <si>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</si>
  <si>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</si>
  <si>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</si>
  <si>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</si>
  <si>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</si>
  <si>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</si>
  <si>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</si>
  <si>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</si>
  <si>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</si>
  <si>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</si>
  <si>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</si>
  <si>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</si>
  <si>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</si>
  <si>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</si>
  <si>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</si>
  <si>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</si>
  <si>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</si>
  <si>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</si>
  <si>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</si>
  <si>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</si>
  <si>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</si>
  <si>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</si>
  <si>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</si>
  <si>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</si>
  <si>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</si>
  <si>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</si>
  <si>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</si>
  <si>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</si>
  <si>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</si>
  <si>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</si>
  <si>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</si>
  <si>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</si>
  <si>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</si>
  <si>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</si>
  <si>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</si>
  <si>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</si>
  <si>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</si>
  <si>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</si>
  <si>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</si>
  <si>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</si>
  <si>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</si>
  <si>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</si>
  <si>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</si>
  <si>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</si>
  <si>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</si>
  <si>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</si>
  <si>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</si>
  <si>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</si>
  <si>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</si>
  <si>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</si>
  <si>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</si>
  <si>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</si>
  <si>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</si>
  <si>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</si>
  <si>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</si>
  <si>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</si>
  <si>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</si>
  <si>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</si>
  <si>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</si>
  <si>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</si>
  <si>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</si>
  <si>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</si>
  <si>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</si>
  <si>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</si>
  <si>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</si>
  <si>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</si>
  <si>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</si>
  <si>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</si>
  <si>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</si>
  <si>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</si>
  <si>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</si>
  <si>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</si>
  <si>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</si>
  <si>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</si>
  <si>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</si>
  <si>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</si>
  <si>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</si>
  <si>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</si>
  <si>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</si>
  <si>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</si>
  <si>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</si>
  <si>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</si>
  <si>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</si>
  <si>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</si>
  <si>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</si>
  <si>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</si>
  <si>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</si>
  <si>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</si>
  <si>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</si>
  <si>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</si>
  <si>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</si>
  <si>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</si>
  <si>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</si>
  <si>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</si>
  <si>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</si>
  <si>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</si>
  <si>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41865262</t>
  </si>
  <si>
    <t>11/05/2026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</si>
  <si>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</si>
  <si>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</si>
  <si>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</si>
  <si>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</si>
  <si>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</si>
  <si>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</si>
  <si>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</si>
  <si>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</si>
  <si>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</si>
  <si>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</si>
  <si>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</si>
  <si>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</si>
  <si>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</si>
  <si>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</si>
  <si>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</si>
  <si>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</si>
  <si>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</si>
  <si>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</si>
  <si>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</si>
  <si>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</si>
  <si>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</si>
  <si>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</si>
  <si>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</si>
  <si>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</si>
  <si>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</si>
  <si>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</si>
  <si>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</si>
  <si>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</si>
  <si>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</si>
  <si>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</si>
  <si>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</si>
  <si>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</si>
  <si>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</si>
  <si>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</si>
  <si>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</si>
  <si>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</si>
  <si>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</si>
  <si>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</si>
  <si>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</si>
  <si>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</si>
  <si>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</si>
  <si>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</si>
  <si>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</si>
  <si>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</si>
  <si>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</si>
  <si>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</si>
  <si>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</si>
  <si>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</si>
  <si>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</si>
  <si>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</si>
  <si>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</si>
  <si>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</si>
  <si>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</si>
  <si>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</si>
  <si>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</si>
  <si>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</si>
  <si>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</si>
  <si>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</si>
  <si>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</si>
  <si>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</si>
  <si>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</si>
  <si>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</si>
  <si>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</si>
  <si>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</si>
  <si>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</si>
  <si>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</si>
  <si>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</si>
  <si>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</si>
  <si>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</si>
  <si>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</si>
  <si>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</si>
  <si>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</si>
  <si>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</si>
  <si>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</si>
  <si>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</si>
  <si>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</si>
  <si>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</si>
  <si>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</si>
  <si>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</si>
  <si>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</si>
  <si>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</si>
  <si>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</si>
  <si>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</si>
  <si>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</si>
  <si>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</si>
  <si>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</si>
  <si>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</si>
  <si>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</si>
  <si>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</si>
  <si>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</si>
  <si>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</si>
  <si>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</si>
  <si>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</si>
  <si>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</si>
  <si>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</si>
  <si>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</si>
  <si>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</si>
  <si>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</si>
  <si>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</si>
  <si>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</si>
  <si>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</si>
  <si>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</si>
  <si>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</si>
  <si>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</si>
  <si>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</si>
  <si>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</si>
  <si>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</si>
  <si>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</si>
  <si>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</si>
  <si>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</si>
  <si>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</si>
  <si>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</si>
  <si>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</si>
  <si>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</si>
  <si>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</si>
  <si>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</si>
  <si>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</si>
  <si>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</si>
  <si>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</si>
  <si>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</si>
  <si>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</si>
  <si>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</si>
  <si>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</si>
  <si>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</si>
  <si>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</si>
  <si>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</si>
  <si>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</si>
  <si>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</si>
  <si>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</si>
  <si>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</si>
  <si>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</si>
  <si>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</si>
  <si>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</si>
  <si>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</si>
  <si>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</si>
  <si>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</si>
  <si>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</si>
  <si>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</si>
  <si>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</si>
  <si>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</si>
  <si>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</si>
  <si>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</si>
  <si>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</si>
  <si>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</si>
  <si>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</si>
  <si>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</si>
  <si>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</si>
  <si>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</si>
  <si>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</si>
  <si>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</si>
  <si>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</si>
  <si>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</si>
  <si>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</si>
  <si>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</si>
  <si>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</si>
  <si>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</si>
  <si>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</si>
  <si>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</si>
  <si>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</si>
  <si>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</si>
  <si>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</si>
  <si>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</si>
  <si>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</si>
  <si>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</si>
  <si>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</si>
  <si>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</si>
  <si>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</si>
  <si>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</si>
  <si>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</si>
  <si>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</si>
  <si>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</si>
  <si>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</si>
  <si>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</si>
  <si>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</si>
  <si>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</si>
  <si>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</si>
  <si>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</si>
  <si>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</si>
  <si>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</si>
  <si>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</si>
  <si>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</si>
  <si>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</si>
  <si>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</si>
  <si>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</si>
  <si>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</si>
  <si>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</si>
  <si>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</si>
  <si>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</si>
  <si>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</si>
  <si>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</si>
  <si>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</si>
  <si>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</si>
  <si>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</si>
  <si>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</si>
  <si>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</si>
  <si>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</si>
  <si>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</si>
  <si>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</si>
  <si>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</si>
  <si>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</si>
  <si>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</si>
  <si>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</si>
  <si>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</si>
  <si>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</si>
  <si>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</si>
  <si>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</si>
  <si>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</si>
  <si>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</si>
  <si>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</si>
  <si>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</si>
  <si>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</si>
  <si>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</si>
  <si>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</si>
  <si>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</si>
  <si>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</si>
  <si>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</si>
  <si>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</si>
  <si>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</si>
  <si>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</si>
  <si>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</si>
  <si>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</si>
  <si>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</si>
  <si>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</si>
  <si>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</si>
  <si>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</si>
  <si>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</si>
  <si>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</si>
  <si>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</si>
  <si>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</si>
  <si>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</si>
  <si>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</si>
  <si>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</si>
  <si>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</si>
  <si>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</si>
  <si>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</si>
  <si>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</si>
  <si>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</si>
  <si>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</si>
  <si>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</si>
  <si>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</si>
  <si>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</si>
  <si>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</si>
  <si>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</si>
  <si>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</si>
  <si>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</si>
  <si>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</si>
  <si>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</si>
  <si>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</si>
  <si>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</si>
  <si>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</si>
  <si>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</si>
  <si>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</si>
  <si>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</si>
  <si>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</si>
  <si>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</si>
  <si>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</si>
  <si>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</si>
  <si>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</si>
  <si>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</si>
  <si>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</si>
  <si>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</si>
  <si>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</si>
  <si>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</si>
  <si>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</si>
  <si>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</si>
  <si>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</si>
  <si>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</si>
  <si>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</si>
  <si>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</si>
  <si>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</si>
  <si>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</si>
  <si>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</si>
  <si>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</si>
  <si>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</si>
  <si>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</si>
  <si>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</si>
  <si>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</si>
  <si>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</si>
  <si>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</si>
  <si>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</si>
  <si>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</si>
  <si>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</si>
  <si>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</si>
  <si>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</si>
  <si>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</si>
  <si>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</si>
  <si>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</si>
  <si>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</si>
  <si>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</si>
  <si>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</si>
  <si>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</si>
  <si>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</si>
  <si>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</si>
  <si>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</si>
  <si>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</si>
  <si>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</si>
  <si>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</si>
  <si>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</si>
  <si>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</si>
  <si>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</si>
  <si>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</si>
  <si>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</si>
  <si>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</si>
  <si>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</si>
  <si>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</si>
  <si>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</si>
  <si>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</si>
  <si>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</si>
  <si>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</si>
  <si>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</si>
  <si>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</si>
  <si>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</si>
  <si>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</si>
  <si>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</si>
  <si>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</si>
  <si>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</si>
  <si>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</si>
  <si>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</si>
  <si>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</si>
  <si>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</si>
  <si>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</si>
  <si>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</si>
  <si>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</si>
  <si>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</si>
  <si>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</si>
  <si>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</si>
  <si>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</si>
  <si>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</si>
  <si>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</si>
  <si>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</si>
  <si>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</si>
  <si>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</si>
  <si>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</si>
  <si>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</si>
  <si>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</si>
  <si>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</si>
  <si>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</si>
  <si>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</si>
  <si>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</si>
  <si>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</si>
  <si>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</si>
  <si>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</si>
  <si>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</si>
  <si>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</si>
  <si>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</si>
  <si>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</si>
  <si>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</si>
  <si>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</si>
  <si>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</si>
  <si>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</si>
  <si>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</si>
  <si>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</si>
  <si>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</si>
  <si>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</si>
  <si>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</si>
  <si>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</si>
  <si>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</si>
  <si>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</si>
  <si>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</si>
  <si>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</si>
  <si>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</si>
  <si>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</si>
  <si>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</si>
  <si>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</si>
  <si>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</si>
  <si>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</si>
  <si>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</si>
  <si>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</si>
  <si>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</si>
  <si>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</si>
  <si>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</si>
  <si>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</si>
  <si>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</si>
  <si>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</si>
  <si>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</si>
  <si>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</si>
  <si>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</si>
  <si>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</si>
  <si>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</si>
  <si>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</si>
  <si>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</si>
  <si>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</si>
  <si>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</si>
  <si>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</si>
  <si>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</si>
  <si>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</si>
  <si>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</si>
  <si>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</si>
  <si>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</si>
  <si>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</si>
  <si>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</si>
  <si>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</si>
  <si>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</si>
  <si>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</si>
  <si>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</si>
  <si>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</si>
  <si>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</si>
  <si>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</si>
  <si>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</si>
  <si>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</si>
  <si>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</si>
  <si>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</si>
  <si>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</si>
  <si>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</si>
  <si>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</si>
  <si>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</si>
  <si>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</si>
  <si>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</si>
  <si>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</si>
  <si>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</si>
  <si>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</si>
  <si>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</si>
  <si>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</si>
  <si>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</si>
  <si>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</si>
  <si>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</si>
  <si>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</si>
  <si>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</si>
  <si>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</si>
  <si>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</si>
  <si>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</si>
  <si>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</si>
  <si>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</si>
  <si>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</si>
  <si>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</si>
  <si>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</si>
  <si>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</si>
  <si>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</si>
  <si>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</si>
  <si>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</si>
  <si>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</si>
  <si>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</si>
  <si>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</si>
  <si>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</si>
  <si>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</si>
  <si>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</si>
  <si>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</si>
  <si>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</si>
  <si>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</si>
  <si>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</si>
  <si>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</si>
  <si>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</si>
  <si>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</si>
  <si>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</si>
  <si>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</si>
  <si>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</si>
  <si>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</si>
  <si>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</si>
  <si>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</si>
  <si>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</si>
  <si>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</si>
  <si>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</si>
  <si>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</si>
  <si>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</si>
  <si>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</si>
  <si>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</si>
  <si>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</si>
  <si>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</si>
  <si>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</si>
  <si>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</si>
  <si>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</si>
  <si>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</si>
  <si>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</si>
  <si>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</si>
  <si>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</si>
  <si>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</si>
  <si>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</si>
  <si>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</si>
  <si>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</si>
  <si>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</si>
  <si>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</si>
  <si>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</si>
  <si>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</si>
  <si>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</si>
  <si>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</si>
  <si>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</si>
  <si>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</si>
  <si>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</si>
  <si>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</si>
  <si>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</si>
  <si>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</si>
  <si>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</si>
  <si>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</si>
  <si>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</si>
  <si>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</si>
  <si>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</si>
  <si>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</si>
  <si>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</si>
  <si>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</si>
  <si>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</si>
  <si>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</si>
  <si>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</si>
  <si>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</si>
  <si>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</si>
  <si>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</si>
  <si>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</si>
  <si>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</si>
  <si>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</si>
  <si>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</si>
  <si>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</si>
  <si>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</si>
  <si>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</si>
  <si>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</si>
  <si>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</si>
  <si>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</si>
  <si>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</si>
  <si>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</si>
  <si>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</si>
  <si>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</si>
  <si>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</si>
  <si>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</si>
  <si>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</si>
  <si>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</si>
  <si>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</si>
  <si>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</si>
  <si>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</si>
  <si>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</si>
  <si>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</si>
  <si>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</si>
  <si>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</si>
  <si>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</si>
  <si>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</si>
  <si>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</si>
  <si>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</si>
  <si>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</si>
  <si>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</si>
  <si>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</si>
  <si>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</si>
  <si>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</si>
  <si>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</si>
  <si>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</si>
  <si>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</si>
  <si>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</si>
  <si>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</si>
  <si>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</si>
  <si>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</si>
  <si>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</si>
  <si>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</si>
  <si>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</si>
  <si>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</si>
  <si>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</si>
  <si>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</si>
  <si>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</si>
  <si>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</si>
  <si>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</si>
  <si>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</si>
  <si>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</si>
  <si>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</si>
  <si>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</si>
  <si>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</si>
  <si>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</si>
  <si>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</si>
  <si>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</si>
  <si>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</si>
  <si>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</si>
  <si>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</si>
  <si>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</si>
  <si>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</si>
  <si>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</si>
  <si>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</si>
  <si>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</si>
  <si>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</si>
  <si>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</si>
  <si>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</si>
  <si>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</si>
  <si>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</si>
  <si>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</si>
  <si>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</si>
  <si>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</si>
  <si>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</si>
  <si>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</si>
  <si>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</si>
  <si>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</si>
  <si>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</si>
  <si>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</si>
  <si>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</si>
  <si>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</si>
  <si>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</si>
  <si>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</si>
  <si>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</si>
  <si>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</si>
  <si>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</si>
  <si>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</si>
  <si>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</si>
  <si>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</si>
  <si>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</si>
  <si>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</si>
  <si>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</si>
  <si>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</si>
  <si>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</si>
  <si>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</si>
  <si>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</si>
  <si>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</si>
  <si>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</si>
  <si>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</si>
  <si>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</si>
  <si>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</si>
  <si>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</si>
  <si>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</si>
  <si>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</si>
  <si>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</si>
  <si>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</si>
  <si>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</si>
  <si>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</si>
  <si>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</si>
  <si>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</si>
  <si>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</si>
  <si>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</si>
  <si>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</si>
  <si>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</si>
  <si>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</si>
  <si>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</si>
  <si>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</si>
  <si>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</si>
  <si>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</si>
  <si>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</si>
  <si>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</si>
  <si>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</si>
  <si>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</si>
  <si>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</si>
  <si>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</si>
  <si>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</si>
  <si>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</si>
  <si>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</si>
  <si>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</si>
  <si>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</si>
  <si>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</si>
  <si>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</si>
  <si>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</si>
  <si>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</si>
  <si>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</si>
  <si>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</si>
  <si>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</si>
  <si>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</si>
  <si>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</si>
  <si>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</si>
  <si>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</si>
  <si>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</si>
  <si>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</si>
  <si>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</si>
  <si>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</si>
  <si>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</si>
  <si>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</si>
  <si>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</si>
  <si>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</si>
  <si>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</si>
  <si>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</si>
  <si>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</si>
  <si>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</si>
  <si>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</si>
  <si>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</si>
  <si>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</si>
  <si>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</si>
  <si>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</si>
  <si>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</si>
  <si>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</si>
  <si>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</si>
  <si>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</si>
  <si>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</si>
  <si>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</si>
  <si>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</si>
  <si>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</si>
  <si>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</si>
  <si>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</si>
  <si>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</si>
  <si>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</si>
  <si>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</si>
  <si>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</si>
  <si>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</si>
  <si>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</si>
  <si>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</si>
  <si>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</si>
  <si>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</si>
  <si>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</si>
  <si>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</si>
  <si>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</si>
  <si>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</si>
  <si>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</si>
  <si>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</si>
  <si>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</si>
  <si>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</si>
  <si>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</si>
  <si>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</si>
  <si>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</si>
  <si>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</si>
  <si>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</si>
  <si>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</si>
  <si>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</si>
  <si>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</si>
  <si>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</si>
  <si>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</si>
  <si>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</si>
  <si>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</si>
  <si>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</si>
  <si>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</si>
  <si>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</si>
  <si>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</si>
  <si>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</si>
  <si>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</si>
  <si>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</si>
  <si>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</si>
  <si>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</si>
  <si>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</si>
  <si>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</si>
  <si>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</si>
  <si>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</si>
  <si>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</si>
  <si>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</si>
  <si>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</si>
  <si>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</si>
  <si>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</si>
  <si>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</si>
  <si>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</si>
  <si>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</si>
  <si>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</si>
  <si>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</si>
  <si>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</si>
  <si>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</si>
  <si>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</si>
  <si>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</si>
  <si>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</si>
  <si>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</si>
  <si>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</si>
  <si>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</si>
  <si>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</si>
  <si>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</si>
  <si>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</si>
  <si>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</si>
  <si>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</si>
  <si>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</si>
  <si>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</si>
  <si>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</si>
  <si>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</si>
  <si>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</si>
  <si>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</si>
  <si>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</si>
  <si>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</si>
  <si>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</si>
  <si>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</si>
  <si>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</si>
  <si>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</si>
  <si>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</si>
  <si>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</si>
  <si>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</si>
  <si>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</si>
  <si>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</si>
  <si>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</si>
  <si>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</si>
  <si>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</si>
  <si>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</si>
  <si>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</si>
  <si>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</si>
  <si>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</si>
  <si>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</si>
  <si>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</si>
  <si>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</si>
  <si>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</si>
  <si>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</si>
  <si>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</si>
  <si>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</si>
  <si>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</si>
  <si>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</si>
  <si>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</si>
  <si>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</si>
  <si>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</si>
  <si>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</si>
  <si>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</si>
  <si>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</si>
  <si>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</si>
  <si>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</si>
  <si>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</si>
  <si>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</si>
  <si>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</si>
  <si>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</si>
  <si>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</si>
  <si>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</si>
  <si>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</si>
  <si>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</si>
  <si>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</si>
  <si>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</si>
  <si>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</si>
  <si>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</si>
  <si>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</si>
  <si>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</si>
  <si>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</si>
  <si>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</si>
  <si>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</si>
  <si>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</si>
  <si>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</si>
  <si>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</si>
  <si>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</si>
  <si>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</si>
  <si>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</si>
  <si>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</si>
  <si>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</si>
  <si>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</si>
  <si>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</si>
  <si>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</si>
  <si>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</si>
  <si>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</si>
  <si>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</si>
  <si>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</si>
  <si>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</si>
  <si>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</si>
  <si>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</si>
  <si>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</si>
  <si>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</si>
  <si>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</si>
  <si>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</si>
  <si>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</si>
  <si>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</si>
  <si>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</si>
  <si>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</si>
  <si>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</si>
  <si>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</si>
  <si>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</si>
  <si>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</si>
  <si>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</si>
  <si>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</si>
  <si>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</si>
  <si>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</si>
  <si>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</si>
  <si>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</si>
  <si>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</si>
  <si>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</si>
  <si>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</si>
  <si>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</si>
  <si>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</si>
  <si>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</si>
  <si>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</si>
  <si>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</si>
  <si>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</si>
  <si>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</si>
  <si>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</si>
  <si>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</si>
  <si>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</si>
  <si>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</si>
  <si>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</si>
  <si>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</si>
  <si>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</si>
  <si>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</si>
  <si>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</si>
  <si>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</si>
  <si>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</si>
  <si>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</si>
  <si>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</si>
  <si>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</si>
  <si>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</si>
  <si>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</si>
  <si>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</si>
  <si>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</si>
  <si>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</si>
  <si>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</si>
  <si>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</si>
  <si>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</si>
  <si>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</si>
  <si>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</si>
  <si>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</si>
  <si>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</si>
  <si>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</si>
  <si>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</si>
  <si>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</si>
  <si>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</si>
  <si>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</si>
  <si>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</si>
  <si>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</si>
  <si>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</si>
  <si>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</si>
  <si>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</si>
  <si>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</si>
  <si>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</si>
  <si>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</si>
  <si>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</si>
  <si>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</si>
  <si>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</si>
  <si>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</si>
  <si>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</si>
  <si>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</si>
  <si>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</si>
  <si>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</si>
  <si>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</si>
  <si>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</si>
  <si>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</si>
  <si>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</si>
  <si>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</si>
  <si>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</si>
  <si>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</si>
  <si>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</si>
  <si>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</si>
  <si>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</si>
  <si>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</si>
  <si>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</si>
  <si>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</si>
  <si>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</si>
  <si>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</si>
  <si>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</si>
  <si>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</si>
  <si>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</si>
  <si>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</si>
  <si>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</si>
  <si>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</si>
  <si>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</si>
  <si>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</si>
  <si>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</si>
  <si>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</si>
  <si>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</si>
  <si>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</si>
  <si>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</si>
  <si>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</si>
  <si>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</si>
  <si>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</si>
  <si>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</si>
  <si>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</si>
  <si>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</si>
  <si>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</si>
  <si>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</si>
  <si>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</si>
  <si>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</si>
  <si>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</si>
  <si>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</si>
  <si>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</si>
  <si>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</si>
  <si>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</si>
  <si>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</si>
  <si>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</si>
  <si>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</si>
  <si>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</si>
  <si>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</si>
  <si>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</si>
  <si>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</si>
  <si>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</si>
  <si>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</si>
  <si>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</si>
  <si>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</si>
  <si>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</si>
  <si>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</si>
  <si>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</si>
  <si>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</si>
  <si>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</si>
  <si>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</si>
  <si>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</si>
  <si>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</si>
  <si>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</si>
  <si>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</si>
  <si>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</si>
  <si>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</si>
  <si>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</si>
  <si>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</si>
  <si>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</si>
  <si>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</si>
  <si>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</si>
  <si>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</si>
  <si>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</si>
  <si>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</si>
  <si>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</si>
  <si>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</si>
  <si>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</si>
  <si>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</si>
  <si>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</si>
  <si>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</si>
  <si>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</si>
  <si>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</si>
  <si>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</si>
  <si>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</si>
  <si>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</si>
  <si>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</si>
  <si>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</si>
  <si>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</si>
  <si>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</si>
  <si>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</si>
  <si>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</si>
  <si>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</si>
  <si>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</si>
  <si>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</si>
  <si>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</si>
  <si>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</si>
  <si>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</si>
  <si>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</si>
  <si>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</si>
  <si>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</si>
  <si>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</si>
  <si>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</si>
  <si>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</si>
  <si>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</si>
  <si>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</si>
  <si>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</si>
  <si>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</si>
  <si>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</si>
  <si>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</si>
  <si>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</si>
  <si>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</si>
  <si>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</si>
  <si>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</si>
  <si>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</si>
  <si>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</si>
  <si>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</si>
  <si>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</si>
  <si>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</si>
  <si>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</si>
  <si>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</si>
  <si>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</si>
  <si>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</si>
  <si>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</si>
  <si>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</si>
  <si>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</si>
  <si>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</si>
  <si>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</si>
  <si>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</si>
  <si>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</si>
  <si>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</si>
  <si>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</si>
  <si>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</si>
  <si>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</si>
  <si>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</si>
  <si>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</si>
  <si>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</si>
  <si>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</si>
  <si>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</si>
  <si>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</si>
  <si>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</si>
  <si>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</si>
  <si>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</si>
  <si>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</si>
  <si>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</si>
  <si>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</si>
  <si>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</si>
  <si>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</si>
  <si>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</si>
  <si>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</si>
  <si>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</si>
  <si>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</si>
  <si>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</si>
  <si>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</si>
  <si>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</si>
  <si>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</si>
  <si>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</si>
  <si>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</si>
  <si>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</si>
  <si>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</si>
  <si>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</si>
  <si>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</si>
  <si>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</si>
  <si>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</si>
  <si>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</si>
  <si>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</si>
  <si>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</si>
  <si>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>41865873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</si>
  <si>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</si>
  <si>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</si>
  <si>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</si>
  <si>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</si>
  <si>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</si>
  <si>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</si>
  <si>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</si>
  <si>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</si>
  <si>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</si>
  <si>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</si>
  <si>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</si>
  <si>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</si>
  <si>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</si>
  <si>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</si>
  <si>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</si>
  <si>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</si>
  <si>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</si>
  <si>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</si>
  <si>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</si>
  <si>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</si>
  <si>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</si>
  <si>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</si>
  <si>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</si>
  <si>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</si>
  <si>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</si>
  <si>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</si>
  <si>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</si>
  <si>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</si>
  <si>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</si>
  <si>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</si>
  <si>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</si>
  <si>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</si>
  <si>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</si>
  <si>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</si>
  <si>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</si>
  <si>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</si>
  <si>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</si>
  <si>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</si>
  <si>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</si>
  <si>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</si>
  <si>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</si>
  <si>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</si>
  <si>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</si>
  <si>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</si>
  <si>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</si>
  <si>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</si>
  <si>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</si>
  <si>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</si>
  <si>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</si>
  <si>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</si>
  <si>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</si>
  <si>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</si>
  <si>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</si>
  <si>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</si>
  <si>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</si>
  <si>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</si>
  <si>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</si>
  <si>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</si>
  <si>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</si>
  <si>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</si>
  <si>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</si>
  <si>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</si>
  <si>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</si>
  <si>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</si>
  <si>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</si>
  <si>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</si>
  <si>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</si>
  <si>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</si>
  <si>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</si>
  <si>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</si>
  <si>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</si>
  <si>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</si>
  <si>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</si>
  <si>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</si>
  <si>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</si>
  <si>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</si>
  <si>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</si>
  <si>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</si>
  <si>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</si>
  <si>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</si>
  <si>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</si>
  <si>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</si>
  <si>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</si>
  <si>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</si>
  <si>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</si>
  <si>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</si>
  <si>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</si>
  <si>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</si>
  <si>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</si>
  <si>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</si>
  <si>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</si>
  <si>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</si>
  <si>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</si>
  <si>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</si>
  <si>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</si>
  <si>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</si>
  <si>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</si>
  <si>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</si>
  <si>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</si>
  <si>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</si>
  <si>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</si>
  <si>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</si>
  <si>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</si>
  <si>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</si>
  <si>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</si>
  <si>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</si>
  <si>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</si>
  <si>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</si>
  <si>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</si>
  <si>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</si>
  <si>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</si>
  <si>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41869010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</si>
  <si>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</si>
  <si>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</si>
  <si>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</si>
  <si>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</si>
  <si>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</si>
  <si>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</si>
  <si>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</si>
  <si>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</si>
  <si>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</si>
  <si>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</si>
  <si>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</si>
  <si>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</si>
  <si>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</si>
  <si>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</si>
  <si>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</si>
  <si>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</si>
  <si>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</si>
  <si>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</si>
  <si>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</si>
  <si>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</si>
  <si>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</si>
  <si>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</si>
  <si>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</si>
  <si>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</si>
  <si>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</si>
  <si>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</si>
  <si>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</si>
  <si>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</si>
  <si>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9899960</t>
  </si>
  <si>
    <t>966247</t>
  </si>
  <si>
    <t>41902210</t>
  </si>
  <si>
    <t>07/07/2026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</si>
  <si>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</si>
  <si>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</si>
  <si>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</si>
  <si>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</si>
  <si>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</si>
  <si>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</si>
  <si>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</si>
  <si>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</si>
  <si>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</si>
  <si>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</si>
  <si>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</si>
  <si>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</si>
  <si>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</si>
  <si>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</si>
  <si>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</si>
  <si>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</si>
  <si>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</si>
  <si>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</si>
  <si>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</si>
  <si>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</si>
  <si>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</si>
  <si>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</si>
  <si>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</si>
  <si>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</si>
  <si>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</si>
  <si>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</si>
  <si>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</si>
  <si>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</si>
  <si>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9899618</t>
  </si>
  <si>
    <t>9899921</t>
  </si>
  <si>
    <t>9899189</t>
  </si>
  <si>
    <t>965558</t>
  </si>
  <si>
    <t>41902222</t>
  </si>
  <si>
    <t>06/07/2026</t>
  </si>
  <si>
    <t>9899253</t>
  </si>
  <si>
    <t>41878285</t>
  </si>
  <si>
    <t>397-26</t>
  </si>
  <si>
    <t>23/06/2026</t>
  </si>
  <si>
    <t>9899243</t>
  </si>
  <si>
    <t>41868779/41868780</t>
  </si>
  <si>
    <t>260000695-26 | 55096-1</t>
  </si>
  <si>
    <t>41868845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</si>
  <si>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</si>
  <si>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</si>
  <si>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</si>
  <si>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</si>
  <si>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</si>
  <si>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</si>
  <si>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</si>
  <si>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</si>
  <si>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</si>
  <si>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</si>
  <si>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</si>
  <si>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</si>
  <si>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</si>
  <si>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</si>
  <si>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</si>
  <si>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</si>
  <si>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</si>
  <si>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</si>
  <si>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</si>
  <si>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</si>
  <si>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</si>
  <si>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</si>
  <si>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</si>
  <si>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</si>
  <si>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</si>
  <si>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</si>
  <si>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</si>
  <si>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</si>
  <si>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</si>
  <si>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</si>
  <si>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</si>
  <si>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</si>
  <si>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</si>
  <si>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</si>
  <si>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</si>
  <si>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</si>
  <si>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</si>
  <si>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</si>
  <si>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</si>
  <si>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</si>
  <si>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25/05/2026</t>
  </si>
  <si>
    <t>31833-1 | 260000440-26</t>
  </si>
  <si>
    <t>69-26</t>
  </si>
  <si>
    <t>41872962</t>
  </si>
  <si>
    <t>70-26</t>
  </si>
  <si>
    <t>71-26</t>
  </si>
  <si>
    <t>72-26</t>
  </si>
  <si>
    <t>9896860</t>
  </si>
  <si>
    <t>965473</t>
  </si>
  <si>
    <t xml:space="preserve">GISELLE SANTOS </t>
  </si>
  <si>
    <t>41875262</t>
  </si>
  <si>
    <t>260000073-26</t>
  </si>
  <si>
    <t>9896699</t>
  </si>
  <si>
    <t>9894614</t>
  </si>
  <si>
    <t>960073</t>
  </si>
  <si>
    <t>41896432</t>
  </si>
  <si>
    <t>01/07/2026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</si>
  <si>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</si>
  <si>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</si>
  <si>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</si>
  <si>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</si>
  <si>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</si>
  <si>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</si>
  <si>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</si>
  <si>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</si>
  <si>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</si>
  <si>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</si>
  <si>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</si>
  <si>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</si>
  <si>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</si>
  <si>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</si>
  <si>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</si>
  <si>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</si>
  <si>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</si>
  <si>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</si>
  <si>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</si>
  <si>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</si>
  <si>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</si>
  <si>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</si>
  <si>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</si>
  <si>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</si>
  <si>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</si>
  <si>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</si>
  <si>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</si>
  <si>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</si>
  <si>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</si>
  <si>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</si>
  <si>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</si>
  <si>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</si>
  <si>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</si>
  <si>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</si>
  <si>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</si>
  <si>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</si>
  <si>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</si>
  <si>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</si>
  <si>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</si>
  <si>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</si>
  <si>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</si>
  <si>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</si>
  <si>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</si>
  <si>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</si>
  <si>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</si>
  <si>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</si>
  <si>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</si>
  <si>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</si>
  <si>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</si>
  <si>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</si>
  <si>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</si>
  <si>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</si>
  <si>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9894616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</si>
  <si>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</si>
  <si>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</si>
  <si>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</si>
  <si>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</si>
  <si>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</si>
  <si>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</si>
  <si>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</si>
  <si>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</si>
  <si>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</si>
  <si>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</si>
  <si>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</si>
  <si>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</si>
  <si>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</si>
  <si>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</si>
  <si>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</si>
  <si>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</si>
  <si>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</si>
  <si>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</si>
  <si>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</si>
  <si>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</si>
  <si>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</si>
  <si>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</si>
  <si>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</si>
  <si>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</si>
  <si>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</si>
  <si>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</si>
  <si>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</si>
  <si>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</si>
  <si>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</si>
  <si>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</si>
  <si>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</si>
  <si>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</si>
  <si>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</si>
  <si>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</si>
  <si>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</si>
  <si>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</si>
  <si>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</si>
  <si>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</si>
  <si>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</si>
  <si>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</si>
  <si>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</si>
  <si>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</si>
  <si>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</si>
  <si>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</si>
  <si>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</si>
  <si>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9894640</t>
  </si>
  <si>
    <t>9894604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</si>
  <si>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</si>
  <si>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</si>
  <si>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</si>
  <si>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</si>
  <si>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</si>
  <si>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</si>
  <si>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</si>
  <si>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</si>
  <si>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</si>
  <si>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</si>
  <si>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</si>
  <si>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</si>
  <si>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</si>
  <si>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</si>
  <si>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</si>
  <si>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</si>
  <si>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</si>
  <si>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</si>
  <si>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</si>
  <si>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</si>
  <si>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</si>
  <si>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</si>
  <si>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</si>
  <si>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</si>
  <si>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</si>
  <si>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</si>
  <si>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</si>
  <si>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</si>
  <si>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</si>
  <si>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</si>
  <si>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</si>
  <si>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</si>
  <si>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</si>
  <si>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</si>
  <si>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</si>
  <si>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</si>
  <si>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</si>
  <si>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</si>
  <si>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</si>
  <si>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9894506</t>
  </si>
  <si>
    <t>960067</t>
  </si>
  <si>
    <t>41896855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</si>
  <si>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</si>
  <si>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</si>
  <si>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</si>
  <si>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</si>
  <si>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</si>
  <si>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</si>
  <si>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</si>
  <si>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</si>
  <si>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</si>
  <si>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</si>
  <si>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</si>
  <si>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</si>
  <si>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</si>
  <si>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</si>
  <si>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</si>
  <si>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</si>
  <si>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</si>
  <si>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</si>
  <si>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</si>
  <si>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9894500</t>
  </si>
  <si>
    <t>9894502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</si>
  <si>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</si>
  <si>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</si>
  <si>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</si>
  <si>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</si>
  <si>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</si>
  <si>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</si>
  <si>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</si>
  <si>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</si>
  <si>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</si>
  <si>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</si>
  <si>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</si>
  <si>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</si>
  <si>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</si>
  <si>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</si>
  <si>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</si>
  <si>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</si>
  <si>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</si>
  <si>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</si>
  <si>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</si>
  <si>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9894501</t>
  </si>
  <si>
    <t>51521085/94/91/90</t>
  </si>
  <si>
    <t>9894503</t>
  </si>
  <si>
    <t>9894504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</si>
  <si>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</si>
  <si>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</si>
  <si>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</si>
  <si>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</si>
  <si>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</si>
  <si>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</si>
  <si>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</si>
  <si>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</si>
  <si>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</si>
  <si>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</si>
  <si>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</si>
  <si>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</si>
  <si>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</si>
  <si>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</si>
  <si>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</si>
  <si>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</si>
  <si>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</si>
  <si>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</si>
  <si>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</si>
  <si>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</si>
  <si>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</si>
  <si>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</si>
  <si>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</si>
  <si>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</si>
  <si>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</si>
  <si>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</si>
  <si>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</si>
  <si>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</si>
  <si>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</si>
  <si>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</si>
  <si>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</si>
  <si>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</si>
  <si>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9894505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</si>
  <si>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</si>
  <si>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</si>
  <si>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</si>
  <si>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</si>
  <si>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</si>
  <si>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</si>
  <si>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</si>
  <si>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</si>
  <si>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</si>
  <si>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</si>
  <si>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</si>
  <si>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</si>
  <si>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</si>
  <si>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51521042/51521043</t>
  </si>
  <si>
    <t>9894418</t>
  </si>
  <si>
    <t>51521050/51521062</t>
  </si>
  <si>
    <t>9894419/9894417</t>
  </si>
  <si>
    <t>156275/17365</t>
  </si>
  <si>
    <t>9876458</t>
  </si>
  <si>
    <t>946330</t>
  </si>
  <si>
    <t>41884143/41884142</t>
  </si>
  <si>
    <t>57977-1 | 260001404-26</t>
  </si>
  <si>
    <t>84-26</t>
  </si>
  <si>
    <t>9893234</t>
  </si>
  <si>
    <t>959999</t>
  </si>
  <si>
    <t>41896434</t>
  </si>
  <si>
    <t>260000031-26</t>
  </si>
  <si>
    <t>9876713</t>
  </si>
  <si>
    <t>946360</t>
  </si>
  <si>
    <t>41887320/41887321</t>
  </si>
  <si>
    <t>260001442-26 | 58059-1</t>
  </si>
  <si>
    <t>77-26</t>
  </si>
  <si>
    <t>9893400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</si>
  <si>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</si>
  <si>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</si>
  <si>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</si>
  <si>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</si>
  <si>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</si>
  <si>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</si>
  <si>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</si>
  <si>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</si>
  <si>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</si>
  <si>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</si>
  <si>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</si>
  <si>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</si>
  <si>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</si>
  <si>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</si>
  <si>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</si>
  <si>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</si>
  <si>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</si>
  <si>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</si>
  <si>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</si>
  <si>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</si>
  <si>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</si>
  <si>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</si>
  <si>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</si>
  <si>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</si>
  <si>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</si>
  <si>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</si>
  <si>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</si>
  <si>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</si>
  <si>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</si>
  <si>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</si>
  <si>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</si>
  <si>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</si>
  <si>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79-26</t>
  </si>
  <si>
    <t>9893239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</si>
  <si>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</si>
  <si>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</si>
  <si>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</si>
  <si>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</si>
  <si>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</si>
  <si>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</si>
  <si>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</si>
  <si>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</si>
  <si>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</si>
  <si>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</si>
  <si>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</si>
  <si>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</si>
  <si>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</si>
  <si>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</si>
  <si>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</si>
  <si>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</si>
  <si>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</si>
  <si>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</si>
  <si>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</si>
  <si>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</si>
  <si>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</si>
  <si>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</si>
  <si>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</si>
  <si>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</si>
  <si>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</si>
  <si>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</si>
  <si>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</si>
  <si>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</si>
  <si>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</si>
  <si>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</si>
  <si>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</si>
  <si>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</si>
  <si>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</si>
  <si>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</si>
  <si>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</si>
  <si>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</si>
  <si>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</si>
  <si>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</si>
  <si>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</si>
  <si>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</si>
  <si>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</si>
  <si>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</si>
  <si>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</si>
  <si>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</si>
  <si>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</si>
  <si>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</si>
  <si>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80-26</t>
  </si>
  <si>
    <t>9893237</t>
  </si>
  <si>
    <t>9877125</t>
  </si>
  <si>
    <t>949695</t>
  </si>
  <si>
    <t>260001842-26</t>
  </si>
  <si>
    <t>81-26</t>
  </si>
  <si>
    <t>9893235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</si>
  <si>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</si>
  <si>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</si>
  <si>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</si>
  <si>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</si>
  <si>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</si>
  <si>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</si>
  <si>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</si>
  <si>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</si>
  <si>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</si>
  <si>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</si>
  <si>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</si>
  <si>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</si>
  <si>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</si>
  <si>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78-26</t>
  </si>
  <si>
    <t>9893403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</si>
  <si>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</si>
  <si>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</si>
  <si>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</si>
  <si>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</si>
  <si>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</si>
  <si>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</si>
  <si>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</si>
  <si>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</si>
  <si>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</si>
  <si>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</si>
  <si>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</si>
  <si>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</si>
  <si>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</si>
  <si>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76-26</t>
  </si>
  <si>
    <t>9893402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</si>
  <si>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</si>
  <si>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</si>
  <si>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</si>
  <si>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</si>
  <si>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</si>
  <si>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</si>
  <si>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</si>
  <si>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4283/15749</t>
  </si>
  <si>
    <t>5021059</t>
  </si>
  <si>
    <t>944678</t>
  </si>
  <si>
    <t>41883435/41883434</t>
  </si>
  <si>
    <t>260000449-26 | 31913-1</t>
  </si>
  <si>
    <t>83-26</t>
  </si>
  <si>
    <t>9894601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</si>
  <si>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</si>
  <si>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</si>
  <si>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</si>
  <si>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</si>
  <si>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</si>
  <si>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</si>
  <si>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</si>
  <si>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</si>
  <si>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</si>
  <si>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</si>
  <si>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</si>
  <si>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</si>
  <si>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</si>
  <si>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</si>
  <si>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</si>
  <si>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82-26</t>
  </si>
  <si>
    <t>9894645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</si>
  <si>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</si>
  <si>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</si>
  <si>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</si>
  <si>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</si>
  <si>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</si>
  <si>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</si>
  <si>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</si>
  <si>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</si>
  <si>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</si>
  <si>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</si>
  <si>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</si>
  <si>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</si>
  <si>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</si>
  <si>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</si>
  <si>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</si>
  <si>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</si>
  <si>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</si>
  <si>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</si>
  <si>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</si>
  <si>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</si>
  <si>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</si>
  <si>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</si>
  <si>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</si>
  <si>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</si>
  <si>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</si>
  <si>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</si>
  <si>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</si>
  <si>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</si>
  <si>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</si>
  <si>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</si>
  <si>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</si>
  <si>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</si>
  <si>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</si>
  <si>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</si>
  <si>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</si>
  <si>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</si>
  <si>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</si>
  <si>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</si>
  <si>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</si>
  <si>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</si>
  <si>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</si>
  <si>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</si>
  <si>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</si>
  <si>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</si>
  <si>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</si>
  <si>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</si>
  <si>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</si>
  <si>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</si>
  <si>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</si>
  <si>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</si>
  <si>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</si>
  <si>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</si>
  <si>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</si>
  <si>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</si>
  <si>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</si>
  <si>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</si>
  <si>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</si>
  <si>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</si>
  <si>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</si>
  <si>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</si>
  <si>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</si>
  <si>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</si>
  <si>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</si>
  <si>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</si>
  <si>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</si>
  <si>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</si>
  <si>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5021584</t>
  </si>
  <si>
    <t>959982</t>
  </si>
  <si>
    <t>41896431</t>
  </si>
  <si>
    <t>260000202-26</t>
  </si>
  <si>
    <t>5021583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</si>
  <si>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</si>
  <si>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</si>
  <si>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</si>
  <si>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</si>
  <si>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</si>
  <si>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</si>
  <si>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</si>
  <si>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</si>
  <si>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</si>
  <si>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</si>
  <si>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</si>
  <si>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</si>
  <si>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</si>
  <si>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</si>
  <si>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</si>
  <si>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</si>
  <si>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</si>
  <si>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</si>
  <si>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</si>
  <si>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</si>
  <si>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</si>
  <si>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</si>
  <si>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</si>
  <si>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</si>
  <si>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</si>
  <si>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</si>
  <si>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</si>
  <si>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</si>
  <si>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</si>
  <si>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</si>
  <si>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</si>
  <si>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</si>
  <si>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</si>
  <si>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</si>
  <si>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17/06/2026</t>
  </si>
  <si>
    <t>5021493</t>
  </si>
  <si>
    <t>9881995</t>
  </si>
  <si>
    <t>963418</t>
  </si>
  <si>
    <t>41907121/41907118</t>
  </si>
  <si>
    <t>9882098</t>
  </si>
  <si>
    <t>953024</t>
  </si>
  <si>
    <t>41906345</t>
  </si>
  <si>
    <t>5021490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</si>
  <si>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</si>
  <si>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</si>
  <si>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</si>
  <si>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</si>
  <si>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</si>
  <si>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</si>
  <si>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</si>
  <si>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</si>
  <si>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</si>
  <si>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9894103</t>
  </si>
  <si>
    <t>959279</t>
  </si>
  <si>
    <t>41896448</t>
  </si>
  <si>
    <t>260000085-26</t>
  </si>
  <si>
    <t>02/07/2026</t>
  </si>
  <si>
    <t>22080170/ 168/169</t>
  </si>
  <si>
    <t>9894104/9894105/9894106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</si>
  <si>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</si>
  <si>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</si>
  <si>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</si>
  <si>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</si>
  <si>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</si>
  <si>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</si>
  <si>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</si>
  <si>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958927</t>
  </si>
  <si>
    <t>41897192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</si>
  <si>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</si>
  <si>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</si>
  <si>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</si>
  <si>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</si>
  <si>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</si>
  <si>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</si>
  <si>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</si>
  <si>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</si>
  <si>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</si>
  <si>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</si>
  <si>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</si>
  <si>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</si>
  <si>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</si>
  <si>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</si>
  <si>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</si>
  <si>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</si>
  <si>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</si>
  <si>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</si>
  <si>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</si>
  <si>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</si>
  <si>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</si>
  <si>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</si>
  <si>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</si>
  <si>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</si>
  <si>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</si>
  <si>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</si>
  <si>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</si>
  <si>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</si>
  <si>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</si>
  <si>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</si>
  <si>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</si>
  <si>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</si>
  <si>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</si>
  <si>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</si>
  <si>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</si>
  <si>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</si>
  <si>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</si>
  <si>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</si>
  <si>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</si>
  <si>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958918</t>
  </si>
  <si>
    <t>41897193</t>
  </si>
  <si>
    <t>9885750</t>
  </si>
  <si>
    <t>954375</t>
  </si>
  <si>
    <t>2167-26 | 2177-26 | 2178-26</t>
  </si>
  <si>
    <t>22/06/2026 | 22/06/2026 | 22/06/2026</t>
  </si>
  <si>
    <t>9885724</t>
  </si>
  <si>
    <t>958912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</si>
  <si>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</si>
  <si>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</si>
  <si>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</si>
  <si>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</si>
  <si>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</si>
  <si>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</si>
  <si>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</si>
  <si>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</si>
  <si>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</si>
  <si>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</si>
  <si>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</si>
  <si>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</si>
  <si>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</si>
  <si>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</si>
  <si>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</si>
  <si>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958363</t>
  </si>
  <si>
    <t>41901061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</si>
  <si>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</si>
  <si>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</si>
  <si>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</si>
  <si>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</si>
  <si>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</si>
  <si>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</si>
  <si>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</si>
  <si>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</si>
  <si>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</si>
  <si>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</si>
  <si>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</si>
  <si>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</si>
  <si>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</si>
  <si>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</si>
  <si>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</si>
  <si>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</si>
  <si>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</si>
  <si>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</si>
  <si>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</si>
  <si>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</si>
  <si>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</si>
  <si>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</si>
  <si>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</si>
  <si>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</si>
  <si>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</si>
  <si>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</si>
  <si>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</si>
  <si>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</si>
  <si>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</si>
  <si>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</si>
  <si>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</si>
  <si>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</si>
  <si>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</si>
  <si>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</si>
  <si>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</si>
  <si>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</si>
  <si>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</si>
  <si>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</si>
  <si>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</si>
  <si>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</si>
  <si>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</si>
  <si>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</si>
  <si>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</si>
  <si>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</si>
  <si>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9894590</t>
  </si>
  <si>
    <t>958025</t>
  </si>
  <si>
    <t>41896456</t>
  </si>
  <si>
    <t>260000091-26</t>
  </si>
  <si>
    <t>9894593</t>
  </si>
  <si>
    <t>9894589</t>
  </si>
  <si>
    <t>9894587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</si>
  <si>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</si>
  <si>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</si>
  <si>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</si>
  <si>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</si>
  <si>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</si>
  <si>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</si>
  <si>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</si>
  <si>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</si>
  <si>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</si>
  <si>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9891919</t>
  </si>
  <si>
    <t>957277</t>
  </si>
  <si>
    <t>41894102 </t>
  </si>
  <si>
    <t>260000419-26</t>
  </si>
  <si>
    <t>9888461</t>
  </si>
  <si>
    <t>953337</t>
  </si>
  <si>
    <t>126408-26</t>
  </si>
  <si>
    <t>73-26</t>
  </si>
  <si>
    <t>9891267</t>
  </si>
  <si>
    <t>957235</t>
  </si>
  <si>
    <t>41894901</t>
  </si>
  <si>
    <t>197-26</t>
  </si>
  <si>
    <t>5021491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</si>
  <si>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</si>
  <si>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</si>
  <si>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</si>
  <si>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</si>
  <si>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</si>
  <si>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</si>
  <si>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</si>
  <si>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</si>
  <si>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</si>
  <si>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</si>
  <si>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</si>
  <si>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</si>
  <si>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</si>
  <si>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9891294</t>
  </si>
  <si>
    <t>9891297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</si>
  <si>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</si>
  <si>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</si>
  <si>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</si>
  <si>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</si>
  <si>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</si>
  <si>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</si>
  <si>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</si>
  <si>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</si>
  <si>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9891261</t>
  </si>
  <si>
    <t>67-26</t>
  </si>
  <si>
    <t>9891287</t>
  </si>
  <si>
    <t>68-26</t>
  </si>
  <si>
    <t>9891289</t>
  </si>
  <si>
    <t>9891292</t>
  </si>
  <si>
    <t>9888463</t>
  </si>
  <si>
    <t>952614</t>
  </si>
  <si>
    <t>260000470-26 | 294-1</t>
  </si>
  <si>
    <t>17/06/2026 | 17/06/2026</t>
  </si>
  <si>
    <t>9891293</t>
  </si>
  <si>
    <t>74-26</t>
  </si>
  <si>
    <t>9891296</t>
  </si>
  <si>
    <t>41894902</t>
  </si>
  <si>
    <t>14705-1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</si>
  <si>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</si>
  <si>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</si>
  <si>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</si>
  <si>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</si>
  <si>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</si>
  <si>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</si>
  <si>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</si>
  <si>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</si>
  <si>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</si>
  <si>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</si>
  <si>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</si>
  <si>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</si>
  <si>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</si>
  <si>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</si>
  <si>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</si>
  <si>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</si>
  <si>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</si>
  <si>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</si>
  <si>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</si>
  <si>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</si>
  <si>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</si>
  <si>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</si>
  <si>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</si>
  <si>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</si>
  <si>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</si>
  <si>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</si>
  <si>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</si>
  <si>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</si>
  <si>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</si>
  <si>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</si>
  <si>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</si>
  <si>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</si>
  <si>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</si>
  <si>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</si>
  <si>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</si>
  <si>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</si>
  <si>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</si>
  <si>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</si>
  <si>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</si>
  <si>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</si>
  <si>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</si>
  <si>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</si>
  <si>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</si>
  <si>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</si>
  <si>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</si>
  <si>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</si>
  <si>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</si>
  <si>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</si>
  <si>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260000418-26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</si>
  <si>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</si>
  <si>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</si>
  <si>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</si>
  <si>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</si>
  <si>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</si>
  <si>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</si>
  <si>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</si>
  <si>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</si>
  <si>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9885719</t>
  </si>
  <si>
    <t>952727</t>
  </si>
  <si>
    <t>9885669</t>
  </si>
  <si>
    <t>9885678</t>
  </si>
  <si>
    <t>9885679</t>
  </si>
  <si>
    <t>9885717</t>
  </si>
  <si>
    <t>5021445</t>
  </si>
  <si>
    <t>970981</t>
  </si>
  <si>
    <t>41907198</t>
  </si>
  <si>
    <t>9885713</t>
  </si>
  <si>
    <t>5021070</t>
  </si>
  <si>
    <t xml:space="preserve">950744 </t>
  </si>
  <si>
    <t>41889232</t>
  </si>
  <si>
    <t>5021304</t>
  </si>
  <si>
    <t>5021303</t>
  </si>
  <si>
    <t>41884998</t>
  </si>
  <si>
    <t>9873207</t>
  </si>
  <si>
    <t>41868839</t>
  </si>
  <si>
    <t>41875470</t>
  </si>
  <si>
    <t>41874454</t>
  </si>
  <si>
    <t>938391</t>
  </si>
  <si>
    <t>41896474</t>
  </si>
  <si>
    <t>17370/156279</t>
  </si>
  <si>
    <t>9876667</t>
  </si>
  <si>
    <t>969051</t>
  </si>
  <si>
    <t>41904434/41904435</t>
  </si>
  <si>
    <t>58461-1 | 260001618-26</t>
  </si>
  <si>
    <t>03/07/2026</t>
  </si>
  <si>
    <t>9861761</t>
  </si>
  <si>
    <t>940635</t>
  </si>
  <si>
    <t>41878507</t>
  </si>
  <si>
    <t>17365/156275</t>
  </si>
  <si>
    <t>9876569</t>
  </si>
  <si>
    <t>946416</t>
  </si>
  <si>
    <t>41884137/41884139</t>
  </si>
  <si>
    <t>9876767</t>
  </si>
  <si>
    <t>946053</t>
  </si>
  <si>
    <t>41884074</t>
  </si>
  <si>
    <t>22030323/22030211</t>
  </si>
  <si>
    <t>9882878/9882874</t>
  </si>
  <si>
    <t>948823</t>
  </si>
  <si>
    <t>41886740</t>
  </si>
  <si>
    <t>9885261</t>
  </si>
  <si>
    <t xml:space="preserve">952062 </t>
  </si>
  <si>
    <t>41890651</t>
  </si>
  <si>
    <t>10336/52736</t>
  </si>
  <si>
    <t>9869845</t>
  </si>
  <si>
    <t>951868</t>
  </si>
  <si>
    <t>41895126/41895125</t>
  </si>
  <si>
    <t>9890307</t>
  </si>
  <si>
    <t>953909</t>
  </si>
  <si>
    <t>41890752/41890750</t>
  </si>
  <si>
    <t>9891207</t>
  </si>
  <si>
    <t>955846</t>
  </si>
  <si>
    <t>41893245/41893247</t>
  </si>
  <si>
    <t>328414-1 | 2237-26</t>
  </si>
  <si>
    <t>9889379</t>
  </si>
  <si>
    <t>953017</t>
  </si>
  <si>
    <t>9885570</t>
  </si>
  <si>
    <t>952730</t>
  </si>
  <si>
    <t>41893300/41893299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</si>
  <si>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</si>
  <si>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</si>
  <si>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</si>
  <si>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</si>
  <si>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</si>
  <si>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</si>
  <si>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</si>
  <si>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</si>
  <si>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</si>
  <si>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</si>
  <si>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</si>
  <si>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</si>
  <si>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 xml:space="preserve">959387 </t>
  </si>
  <si>
    <t>41896451/41896457</t>
  </si>
  <si>
    <t>9891829</t>
  </si>
  <si>
    <t>961937</t>
  </si>
  <si>
    <t>41906413</t>
  </si>
  <si>
    <t>5021618</t>
  </si>
  <si>
    <t>966263</t>
  </si>
  <si>
    <t>41902243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</si>
  <si>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</si>
  <si>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</si>
  <si>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</si>
  <si>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</si>
  <si>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</si>
  <si>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</si>
  <si>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</si>
  <si>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</si>
  <si>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</si>
  <si>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</si>
  <si>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</si>
  <si>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5021281</t>
  </si>
  <si>
    <t>949125</t>
  </si>
  <si>
    <t>41894182</t>
  </si>
  <si>
    <t>9894353</t>
  </si>
  <si>
    <t xml:space="preserve">958307 </t>
  </si>
  <si>
    <t>41894660</t>
  </si>
  <si>
    <t>260001204-26</t>
  </si>
  <si>
    <t>15732/4275</t>
  </si>
  <si>
    <t>9881923</t>
  </si>
  <si>
    <t>964005</t>
  </si>
  <si>
    <t>41900598/41900599</t>
  </si>
  <si>
    <t>32226-1 | 260000516-26</t>
  </si>
  <si>
    <t>9894101</t>
  </si>
  <si>
    <t>957966</t>
  </si>
  <si>
    <t>41894908</t>
  </si>
  <si>
    <t>4271/15728</t>
  </si>
  <si>
    <t>9890424</t>
  </si>
  <si>
    <t>963782</t>
  </si>
  <si>
    <t>41900042/41900043</t>
  </si>
  <si>
    <t>260000517-26</t>
  </si>
  <si>
    <t>500580579</t>
  </si>
  <si>
    <t xml:space="preserve">959318 </t>
  </si>
  <si>
    <t>41896386</t>
  </si>
  <si>
    <t>9891907</t>
  </si>
  <si>
    <t>958891</t>
  </si>
  <si>
    <t>41896277</t>
  </si>
  <si>
    <t>9890671</t>
  </si>
  <si>
    <t>963433</t>
  </si>
  <si>
    <t>41900132</t>
  </si>
  <si>
    <t>9892070</t>
  </si>
  <si>
    <t>957058</t>
  </si>
  <si>
    <t>41901063</t>
  </si>
  <si>
    <t>9883143</t>
  </si>
  <si>
    <t>953903</t>
  </si>
  <si>
    <t>41897186/41897185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</si>
  <si>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</si>
  <si>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</si>
  <si>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</si>
  <si>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</si>
  <si>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</si>
  <si>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</si>
  <si>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</si>
  <si>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</si>
  <si>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</si>
  <si>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</si>
  <si>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</si>
  <si>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</si>
  <si>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</si>
  <si>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</si>
  <si>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</si>
  <si>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</si>
  <si>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9889721</t>
  </si>
  <si>
    <t>962717</t>
  </si>
  <si>
    <t>41901062</t>
  </si>
  <si>
    <t>253-1</t>
  </si>
  <si>
    <t>9877561</t>
  </si>
  <si>
    <t>962701</t>
  </si>
  <si>
    <t>41901051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</si>
  <si>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</si>
  <si>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</si>
  <si>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</si>
  <si>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</si>
  <si>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</si>
  <si>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</si>
  <si>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</si>
  <si>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9890673</t>
  </si>
  <si>
    <t>961949</t>
  </si>
  <si>
    <t>41898337</t>
  </si>
  <si>
    <t>02.07.2026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</si>
  <si>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</si>
  <si>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</si>
  <si>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</si>
  <si>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</si>
  <si>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</si>
  <si>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</si>
  <si>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</si>
  <si>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</si>
  <si>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</si>
  <si>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</si>
  <si>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</si>
  <si>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</si>
  <si>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9896128</t>
  </si>
  <si>
    <t>961346</t>
  </si>
  <si>
    <t xml:space="preserve">41900766 </t>
  </si>
  <si>
    <t>640-26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</si>
  <si>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</si>
  <si>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</si>
  <si>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</si>
  <si>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</si>
  <si>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</si>
  <si>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</si>
  <si>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</si>
  <si>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</si>
  <si>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</si>
  <si>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</si>
  <si>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</si>
  <si>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</si>
  <si>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</si>
  <si>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</si>
  <si>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</si>
  <si>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 xml:space="preserve">961653 </t>
  </si>
  <si>
    <t>41899859</t>
  </si>
  <si>
    <t>9890789</t>
  </si>
  <si>
    <t>961924</t>
  </si>
  <si>
    <t>41898434</t>
  </si>
  <si>
    <t>9894617</t>
  </si>
  <si>
    <t>961903</t>
  </si>
  <si>
    <t>41898336/41898335</t>
  </si>
  <si>
    <t>895-26 | 32539-1</t>
  </si>
  <si>
    <t>9891988</t>
  </si>
  <si>
    <t>961863</t>
  </si>
  <si>
    <t>41898334</t>
  </si>
  <si>
    <t>32539-1</t>
  </si>
  <si>
    <t>9895805</t>
  </si>
  <si>
    <t>961447</t>
  </si>
  <si>
    <t xml:space="preserve">41899938/41899940 </t>
  </si>
  <si>
    <t>260001613-26 | 58460-1</t>
  </si>
  <si>
    <t>85-26</t>
  </si>
  <si>
    <t>9893238</t>
  </si>
  <si>
    <t>961430</t>
  </si>
  <si>
    <t>41900747</t>
  </si>
  <si>
    <t>9894642</t>
  </si>
  <si>
    <t>960620</t>
  </si>
  <si>
    <t>41898333</t>
  </si>
  <si>
    <t>9895486</t>
  </si>
  <si>
    <t>963096</t>
  </si>
  <si>
    <t>41900127</t>
  </si>
  <si>
    <t>260000037-26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</si>
  <si>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</si>
  <si>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</si>
  <si>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</si>
  <si>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</si>
  <si>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</si>
  <si>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</si>
  <si>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</si>
  <si>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</si>
  <si>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</si>
  <si>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</si>
  <si>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</si>
  <si>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</si>
  <si>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</si>
  <si>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</si>
  <si>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</si>
  <si>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</si>
  <si>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9883670</t>
  </si>
  <si>
    <t>960058 </t>
  </si>
  <si>
    <t>41896379</t>
  </si>
  <si>
    <t>2314-26</t>
  </si>
  <si>
    <t>9895810</t>
  </si>
  <si>
    <t>963006</t>
  </si>
  <si>
    <t>41900595/41900594/41900593</t>
  </si>
  <si>
    <t>9895809</t>
  </si>
  <si>
    <t>962666</t>
  </si>
  <si>
    <t>41900754/41900758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</si>
  <si>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</si>
  <si>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</si>
  <si>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</si>
  <si>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</si>
  <si>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</si>
  <si>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</si>
  <si>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</si>
  <si>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</si>
  <si>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</si>
  <si>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</si>
  <si>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</si>
  <si>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</si>
  <si>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</si>
  <si>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</si>
  <si>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</si>
  <si>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</si>
  <si>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</si>
  <si>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</si>
  <si>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</si>
  <si>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</si>
  <si>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</si>
  <si>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9890905</t>
  </si>
  <si>
    <t>958816</t>
  </si>
  <si>
    <t>41896447</t>
  </si>
  <si>
    <t>260000034-26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</si>
  <si>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</si>
  <si>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</si>
  <si>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</si>
  <si>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</si>
  <si>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</si>
  <si>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</si>
  <si>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</si>
  <si>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</si>
  <si>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9876933</t>
  </si>
  <si>
    <t>958565/958506</t>
  </si>
  <si>
    <t>41897200/41897965</t>
  </si>
  <si>
    <t>260000432-26</t>
  </si>
  <si>
    <t>44676</t>
  </si>
  <si>
    <t>9896122</t>
  </si>
  <si>
    <t>964071</t>
  </si>
  <si>
    <t>41900572/41900574</t>
  </si>
  <si>
    <t>329273-1 | 2319-26</t>
  </si>
  <si>
    <t>9885732</t>
  </si>
  <si>
    <t>958250</t>
  </si>
  <si>
    <t>41898234/41898232</t>
  </si>
  <si>
    <t>109708-1</t>
  </si>
  <si>
    <t>01/07/2027</t>
  </si>
  <si>
    <t>9890907</t>
  </si>
  <si>
    <t>958156</t>
  </si>
  <si>
    <t xml:space="preserve">41897967 </t>
  </si>
  <si>
    <t>260000433-26</t>
  </si>
  <si>
    <t>9884704</t>
  </si>
  <si>
    <t>957991</t>
  </si>
  <si>
    <t xml:space="preserve">41894909 </t>
  </si>
  <si>
    <t>260000425-26</t>
  </si>
  <si>
    <t>9892061</t>
  </si>
  <si>
    <t>964036</t>
  </si>
  <si>
    <t>41900571</t>
  </si>
  <si>
    <t>260000375-26</t>
  </si>
  <si>
    <t>9890859</t>
  </si>
  <si>
    <t>957381</t>
  </si>
  <si>
    <t>41894905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</si>
  <si>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</si>
  <si>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</si>
  <si>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</si>
  <si>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</si>
  <si>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</si>
  <si>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</si>
  <si>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</si>
  <si>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</si>
  <si>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</si>
  <si>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</si>
  <si>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</si>
  <si>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</si>
  <si>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</si>
  <si>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</si>
  <si>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</si>
  <si>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</si>
  <si>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</si>
  <si>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9894414</t>
  </si>
  <si>
    <t>963477</t>
  </si>
  <si>
    <t>41900759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</si>
  <si>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</si>
  <si>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</si>
  <si>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</si>
  <si>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</si>
  <si>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</si>
  <si>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</si>
  <si>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</si>
  <si>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9894651</t>
  </si>
  <si>
    <t>963572</t>
  </si>
  <si>
    <t>41900772/41900774</t>
  </si>
  <si>
    <t>55852-1 | 260000919-26</t>
  </si>
  <si>
    <t>9894409</t>
  </si>
  <si>
    <t>961983</t>
  </si>
  <si>
    <t>41900130/41900131</t>
  </si>
  <si>
    <t>41510/72934</t>
  </si>
  <si>
    <t>9896751</t>
  </si>
  <si>
    <t>965446</t>
  </si>
  <si>
    <t>41901378/41901377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</si>
  <si>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</si>
  <si>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</si>
  <si>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</si>
  <si>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</si>
  <si>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</si>
  <si>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</si>
  <si>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</si>
  <si>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</si>
  <si>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</si>
  <si>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</si>
  <si>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</si>
  <si>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</si>
  <si>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</si>
  <si>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</si>
  <si>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</si>
  <si>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</si>
  <si>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</si>
  <si>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</si>
  <si>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4293/15750</t>
  </si>
  <si>
    <t>9883683</t>
  </si>
  <si>
    <t>955098</t>
  </si>
  <si>
    <t>41891525/41891526</t>
  </si>
  <si>
    <t>32220-1 | 260000510-26</t>
  </si>
  <si>
    <t>9889369</t>
  </si>
  <si>
    <t>954260</t>
  </si>
  <si>
    <t>41892597/41892596</t>
  </si>
  <si>
    <t>257364-1</t>
  </si>
  <si>
    <t>9885667</t>
  </si>
  <si>
    <t>954016</t>
  </si>
  <si>
    <t xml:space="preserve">41896790/41896789 </t>
  </si>
  <si>
    <t>109619-1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</si>
  <si>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</si>
  <si>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</si>
  <si>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</si>
  <si>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</si>
  <si>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</si>
  <si>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</si>
  <si>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</si>
  <si>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</si>
  <si>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</si>
  <si>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</si>
  <si>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</si>
  <si>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</si>
  <si>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</si>
  <si>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</si>
  <si>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</si>
  <si>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</si>
  <si>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</si>
  <si>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</si>
  <si>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</si>
  <si>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</si>
  <si>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</si>
  <si>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</si>
  <si>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</si>
  <si>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</si>
  <si>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</si>
  <si>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</si>
  <si>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</si>
  <si>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</si>
  <si>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</si>
  <si>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2833/2830</t>
  </si>
  <si>
    <t xml:space="preserve">950762 </t>
  </si>
  <si>
    <t xml:space="preserve">41889564 </t>
  </si>
  <si>
    <t>9876946</t>
  </si>
  <si>
    <t>950637</t>
  </si>
  <si>
    <t>260000410-26</t>
  </si>
  <si>
    <t>9884130</t>
  </si>
  <si>
    <t>949512</t>
  </si>
  <si>
    <t>41886963</t>
  </si>
  <si>
    <t>260000078-26</t>
  </si>
  <si>
    <t>500580090/0220/0096</t>
  </si>
  <si>
    <t>43-26 (A e B)</t>
  </si>
  <si>
    <t>966724/966685</t>
  </si>
  <si>
    <t>41903168/41903174</t>
  </si>
  <si>
    <t>260000030-26 | 260000031-26</t>
  </si>
  <si>
    <t>5021650</t>
  </si>
  <si>
    <t>966385</t>
  </si>
  <si>
    <t>41903166</t>
  </si>
  <si>
    <t>07.07.2026</t>
  </si>
  <si>
    <t>225332/220781</t>
  </si>
  <si>
    <t>9879095</t>
  </si>
  <si>
    <t>948899</t>
  </si>
  <si>
    <t>41890182/41890183</t>
  </si>
  <si>
    <t>36863-2 | 260000703-26</t>
  </si>
  <si>
    <t>90001558</t>
  </si>
  <si>
    <t>966058</t>
  </si>
  <si>
    <t>41902124</t>
  </si>
  <si>
    <t>HBZ1H56</t>
  </si>
  <si>
    <t xml:space="preserve">947492 </t>
  </si>
  <si>
    <t>41885317</t>
  </si>
  <si>
    <t>4285-26</t>
  </si>
  <si>
    <t>51DFE002</t>
  </si>
  <si>
    <t>9896826</t>
  </si>
  <si>
    <t>966372</t>
  </si>
  <si>
    <t>9899245</t>
  </si>
  <si>
    <t>968457</t>
  </si>
  <si>
    <t>41903927</t>
  </si>
  <si>
    <t>08/07/2026</t>
  </si>
  <si>
    <t>90001608</t>
  </si>
  <si>
    <t>968419</t>
  </si>
  <si>
    <t>41903925</t>
  </si>
  <si>
    <t>13191-1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</si>
  <si>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</si>
  <si>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</si>
  <si>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</si>
  <si>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</si>
  <si>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</si>
  <si>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</si>
  <si>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</si>
  <si>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</si>
  <si>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</si>
  <si>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</si>
  <si>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</si>
  <si>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</si>
  <si>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</si>
  <si>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 xml:space="preserve">942056 </t>
  </si>
  <si>
    <t>41880019</t>
  </si>
  <si>
    <t>9899199</t>
  </si>
  <si>
    <t>90009842</t>
  </si>
  <si>
    <t>9899252</t>
  </si>
  <si>
    <t>5020964</t>
  </si>
  <si>
    <t>940821</t>
  </si>
  <si>
    <t>41880307</t>
  </si>
  <si>
    <t>9899251</t>
  </si>
  <si>
    <t>9899247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</si>
  <si>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</si>
  <si>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</si>
  <si>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</si>
  <si>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</si>
  <si>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9899187</t>
  </si>
  <si>
    <t>972499</t>
  </si>
  <si>
    <t>90003013</t>
  </si>
  <si>
    <t>965624</t>
  </si>
  <si>
    <t>41904433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</si>
  <si>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</si>
  <si>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</si>
  <si>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</si>
  <si>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</si>
  <si>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</si>
  <si>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</si>
  <si>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</si>
  <si>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</si>
  <si>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</si>
  <si>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4037/14542</t>
  </si>
  <si>
    <t>9873699</t>
  </si>
  <si>
    <t>940528</t>
  </si>
  <si>
    <t>41878283/41878284</t>
  </si>
  <si>
    <t>31831-1 | 260000438-26</t>
  </si>
  <si>
    <t>RRJ0B92</t>
  </si>
  <si>
    <t>157471/17807</t>
  </si>
  <si>
    <t>9899966</t>
  </si>
  <si>
    <t>970524</t>
  </si>
  <si>
    <t>41906363</t>
  </si>
  <si>
    <t>9899964</t>
  </si>
  <si>
    <t>972322</t>
  </si>
  <si>
    <t>41907769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</si>
  <si>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</si>
  <si>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</si>
  <si>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</si>
  <si>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</si>
  <si>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</si>
  <si>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</si>
  <si>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</si>
  <si>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</si>
  <si>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</si>
  <si>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</si>
  <si>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</si>
  <si>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</si>
  <si>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</si>
  <si>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</si>
  <si>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</si>
  <si>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</si>
  <si>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</si>
  <si>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</si>
  <si>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939184</t>
  </si>
  <si>
    <t>41894189</t>
  </si>
  <si>
    <t>50859-1</t>
  </si>
  <si>
    <t>4253/15676</t>
  </si>
  <si>
    <t>9899886</t>
  </si>
  <si>
    <t xml:space="preserve">969752 </t>
  </si>
  <si>
    <t>41906375/41906376</t>
  </si>
  <si>
    <t>90002704</t>
  </si>
  <si>
    <t>969110</t>
  </si>
  <si>
    <t>41904445</t>
  </si>
  <si>
    <t>09/07/2026</t>
  </si>
  <si>
    <t>9867289</t>
  </si>
  <si>
    <t>920143</t>
  </si>
  <si>
    <t>41880169/41880167</t>
  </si>
  <si>
    <t>326913-1 | 2004-26</t>
  </si>
  <si>
    <t>90003890</t>
  </si>
  <si>
    <t>971130</t>
  </si>
  <si>
    <t>41906762</t>
  </si>
  <si>
    <t>90002707</t>
  </si>
  <si>
    <t>157210/17703</t>
  </si>
  <si>
    <t>90002784/90002782</t>
  </si>
  <si>
    <t>973063</t>
  </si>
  <si>
    <t>90002641</t>
  </si>
  <si>
    <t>90002646</t>
  </si>
  <si>
    <t>155758/17156</t>
  </si>
  <si>
    <t>90002715</t>
  </si>
  <si>
    <t>972835</t>
  </si>
  <si>
    <t>90002656</t>
  </si>
  <si>
    <t>968052</t>
  </si>
  <si>
    <t>41904438</t>
  </si>
  <si>
    <t>90002701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</si>
  <si>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</si>
  <si>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</si>
  <si>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</si>
  <si>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</si>
  <si>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</si>
  <si>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</si>
  <si>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</si>
  <si>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</si>
  <si>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90002649</t>
  </si>
  <si>
    <t>500580100/500580349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</si>
  <si>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</si>
  <si>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</si>
  <si>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</si>
  <si>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</si>
  <si>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</si>
  <si>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</si>
  <si>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</si>
  <si>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</si>
  <si>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</si>
  <si>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</si>
  <si>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</si>
  <si>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</si>
  <si>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</si>
  <si>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</si>
  <si>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</si>
  <si>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</si>
  <si>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</si>
  <si>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</si>
  <si>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</si>
  <si>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</si>
  <si>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</si>
  <si>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</si>
  <si>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</si>
  <si>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</si>
  <si>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</si>
  <si>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</si>
  <si>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</si>
  <si>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</si>
  <si>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</si>
  <si>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</si>
  <si>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</si>
  <si>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</si>
  <si>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</si>
  <si>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</si>
  <si>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</si>
  <si>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</si>
  <si>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</si>
  <si>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</si>
  <si>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5021708</t>
  </si>
  <si>
    <t>969135</t>
  </si>
  <si>
    <t>41904449</t>
  </si>
  <si>
    <t>260000072-26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</si>
  <si>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</si>
  <si>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</si>
  <si>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</si>
  <si>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</si>
  <si>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</si>
  <si>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</si>
  <si>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</si>
  <si>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</si>
  <si>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</si>
  <si>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</si>
  <si>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2325/2338</t>
  </si>
  <si>
    <t>HERICLIS PEREIRA</t>
  </si>
  <si>
    <t>90006270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</si>
  <si>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</si>
  <si>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</si>
  <si>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</si>
  <si>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</si>
  <si>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</si>
  <si>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</si>
  <si>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</si>
  <si>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</si>
  <si>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</si>
  <si>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</si>
  <si>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</si>
  <si>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</si>
  <si>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</si>
  <si>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</si>
  <si>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</si>
  <si>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</si>
  <si>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</si>
  <si>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</si>
  <si>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</si>
  <si>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</si>
  <si>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</si>
  <si>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</si>
  <si>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</si>
  <si>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</si>
  <si>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</si>
  <si>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</si>
  <si>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</si>
  <si>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</si>
  <si>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</si>
  <si>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</si>
  <si>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</si>
  <si>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</si>
  <si>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</si>
  <si>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</si>
  <si>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</si>
  <si>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</si>
  <si>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</si>
  <si>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</si>
  <si>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</si>
  <si>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</si>
  <si>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</si>
  <si>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</si>
  <si>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</si>
  <si>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157738/17924</t>
  </si>
  <si>
    <t>90007399</t>
  </si>
  <si>
    <t>973204</t>
  </si>
  <si>
    <t>51521087/51521096/51521102</t>
  </si>
  <si>
    <t>5152101107/51519037</t>
  </si>
  <si>
    <t>51521106/51521105</t>
  </si>
  <si>
    <t>90009880</t>
  </si>
  <si>
    <t>972868</t>
  </si>
  <si>
    <t>90009840</t>
  </si>
  <si>
    <t>972633</t>
  </si>
  <si>
    <t>90010177</t>
  </si>
  <si>
    <t>972467</t>
  </si>
  <si>
    <t>41908608/41908607</t>
  </si>
  <si>
    <t>90010174</t>
  </si>
  <si>
    <t>972405</t>
  </si>
  <si>
    <t>41908567/41908568</t>
  </si>
  <si>
    <t>4329/15892</t>
  </si>
  <si>
    <t>90001462</t>
  </si>
  <si>
    <t>973095</t>
  </si>
  <si>
    <t>9899118</t>
  </si>
  <si>
    <t>90011139</t>
  </si>
  <si>
    <t>972479</t>
  </si>
  <si>
    <t>41907825/41907824</t>
  </si>
  <si>
    <t>22080167/22080169/41521042</t>
  </si>
  <si>
    <t>90009655/90009654/90009656</t>
  </si>
  <si>
    <t>972066</t>
  </si>
  <si>
    <t>41907668</t>
  </si>
  <si>
    <t>5021710</t>
  </si>
  <si>
    <t>968019</t>
  </si>
  <si>
    <t>17050/155508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</si>
</sst>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4" totalsRowShown="0" headerRowDxfId="61" dataDxfId="60" headerRowBorderDxfId="58" tableBorderDxfId="59" totalsRowBorderDxfId="57">
  <autoFilter ref="A1:A384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196" headerRowDxfId="34" dataDxfId="33" totalsRowDxfId="32">
  <autoFilter ref="A2:R2196" xr:uid="{95D85EF3-4606-45BC-A2EB-924C5C960DCF}"/>
  <sortState xmlns:xlrd2="http://schemas.microsoft.com/office/spreadsheetml/2017/richdata2" ref="A2119:R2119">
    <sortCondition ref="B2:B2169"/>
  </sortState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4"/>
  <sheetViews>
    <sheetView topLeftCell="A379" workbookViewId="0">
      <selection activeCell="A385" sqref="A385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B1807" sqref="B1807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374</v>
      </c>
      <c r="B1" s="6" t="s">
        <v>375</v>
      </c>
    </row>
    <row r="2" spans="1:2" ht="14.25" customHeight="1">
      <c r="A2" s="7">
        <v>1726243</v>
      </c>
      <c r="B2" s="8" t="s">
        <v>376</v>
      </c>
    </row>
    <row r="3" spans="1:2" ht="14.25" customHeight="1">
      <c r="A3" s="7">
        <v>150210220</v>
      </c>
      <c r="B3" s="8" t="s">
        <v>377</v>
      </c>
    </row>
    <row r="4" spans="1:2" ht="14.25" customHeight="1">
      <c r="A4" s="7">
        <v>81521060</v>
      </c>
      <c r="B4" s="8" t="s">
        <v>378</v>
      </c>
    </row>
    <row r="5" spans="1:2" ht="14.25" customHeight="1">
      <c r="A5" s="7">
        <v>150210100</v>
      </c>
      <c r="B5" s="8" t="s">
        <v>379</v>
      </c>
    </row>
    <row r="6" spans="1:2" ht="14.25" customHeight="1">
      <c r="A6" s="7">
        <v>150210093</v>
      </c>
      <c r="B6" s="8" t="s">
        <v>380</v>
      </c>
    </row>
    <row r="7" spans="1:2" ht="14.25" customHeight="1">
      <c r="A7" s="7">
        <v>150210077</v>
      </c>
      <c r="B7" s="8" t="s">
        <v>381</v>
      </c>
    </row>
    <row r="8" spans="1:2" ht="14.25" customHeight="1">
      <c r="A8" s="7">
        <v>150210070</v>
      </c>
      <c r="B8" s="8" t="s">
        <v>382</v>
      </c>
    </row>
    <row r="9" spans="1:2" ht="14.25" customHeight="1">
      <c r="A9" s="7">
        <v>150210110</v>
      </c>
      <c r="B9" s="8" t="s">
        <v>383</v>
      </c>
    </row>
    <row r="10" spans="1:2" ht="14.25" customHeight="1">
      <c r="A10" s="7">
        <v>150210050</v>
      </c>
      <c r="B10" s="8" t="s">
        <v>384</v>
      </c>
    </row>
    <row r="11" spans="1:2" ht="14.25" customHeight="1">
      <c r="A11" s="7">
        <v>150210069</v>
      </c>
      <c r="B11" s="8" t="s">
        <v>385</v>
      </c>
    </row>
    <row r="12" spans="1:2" ht="14.25" customHeight="1">
      <c r="A12" s="7">
        <v>150210061</v>
      </c>
      <c r="B12" s="8" t="s">
        <v>386</v>
      </c>
    </row>
    <row r="13" spans="1:2" ht="14.25" customHeight="1">
      <c r="A13" s="7">
        <v>150210346</v>
      </c>
      <c r="B13" s="8" t="s">
        <v>387</v>
      </c>
    </row>
    <row r="14" spans="1:2" ht="14.25" customHeight="1">
      <c r="A14" s="7">
        <v>150210325</v>
      </c>
      <c r="B14" s="8" t="s">
        <v>388</v>
      </c>
    </row>
    <row r="15" spans="1:2" ht="14.25" customHeight="1">
      <c r="A15" s="7">
        <v>150210044</v>
      </c>
      <c r="B15" s="8" t="s">
        <v>389</v>
      </c>
    </row>
    <row r="16" spans="1:2" ht="14.25" customHeight="1">
      <c r="A16" s="7">
        <v>150210073</v>
      </c>
      <c r="B16" s="8" t="s">
        <v>390</v>
      </c>
    </row>
    <row r="17" spans="1:2" ht="14.25" customHeight="1">
      <c r="A17" s="7">
        <v>150210437</v>
      </c>
      <c r="B17" s="8" t="s">
        <v>391</v>
      </c>
    </row>
    <row r="18" spans="1:2" ht="14.25" customHeight="1">
      <c r="A18" s="7">
        <v>150210218</v>
      </c>
      <c r="B18" s="9" t="s">
        <v>392</v>
      </c>
    </row>
    <row r="19" spans="1:2" ht="14.25" customHeight="1">
      <c r="A19" s="7">
        <v>81521295</v>
      </c>
      <c r="B19" s="8" t="s">
        <v>393</v>
      </c>
    </row>
    <row r="20" spans="1:2" ht="14.25" customHeight="1">
      <c r="A20" s="7">
        <v>8173554</v>
      </c>
      <c r="B20" s="8" t="s">
        <v>394</v>
      </c>
    </row>
    <row r="21" spans="1:2" ht="14.25" customHeight="1">
      <c r="A21" s="7">
        <v>61521107</v>
      </c>
      <c r="B21" s="8" t="s">
        <v>395</v>
      </c>
    </row>
    <row r="22" spans="1:2" ht="14.25" customHeight="1">
      <c r="A22" s="7">
        <v>627373</v>
      </c>
      <c r="B22" s="8" t="s">
        <v>396</v>
      </c>
    </row>
    <row r="23" spans="1:2" ht="14.25" customHeight="1">
      <c r="A23" s="7">
        <v>150210097</v>
      </c>
      <c r="B23" s="8" t="s">
        <v>397</v>
      </c>
    </row>
    <row r="24" spans="1:2" ht="14.25" customHeight="1">
      <c r="A24" s="7">
        <v>61521102</v>
      </c>
      <c r="B24" s="8" t="s">
        <v>398</v>
      </c>
    </row>
    <row r="25" spans="1:2" ht="14.25" customHeight="1">
      <c r="A25" s="7">
        <v>81519050</v>
      </c>
      <c r="B25" s="8" t="s">
        <v>399</v>
      </c>
    </row>
    <row r="26" spans="1:2" ht="14.25" customHeight="1">
      <c r="A26" s="7">
        <v>8151904</v>
      </c>
      <c r="B26" s="8" t="s">
        <v>399</v>
      </c>
    </row>
    <row r="27" spans="1:2" ht="14.25" customHeight="1">
      <c r="A27" s="7">
        <v>150210328</v>
      </c>
      <c r="B27" s="8" t="s">
        <v>400</v>
      </c>
    </row>
    <row r="28" spans="1:2" ht="14.25" customHeight="1">
      <c r="A28" s="7">
        <v>150210064</v>
      </c>
      <c r="B28" s="8" t="s">
        <v>401</v>
      </c>
    </row>
    <row r="29" spans="1:2" ht="14.25" customHeight="1">
      <c r="A29" s="7">
        <v>7157354</v>
      </c>
      <c r="B29" s="8" t="s">
        <v>402</v>
      </c>
    </row>
    <row r="30" spans="1:2" ht="14.25" customHeight="1">
      <c r="A30" s="7">
        <v>61521106</v>
      </c>
      <c r="B30" s="8" t="s">
        <v>403</v>
      </c>
    </row>
    <row r="31" spans="1:2" ht="14.25" customHeight="1">
      <c r="A31" s="7">
        <v>61521105</v>
      </c>
      <c r="B31" s="8" t="s">
        <v>404</v>
      </c>
    </row>
    <row r="32" spans="1:2" ht="14.25" customHeight="1">
      <c r="A32" s="7">
        <v>41521064</v>
      </c>
      <c r="B32" s="8" t="s">
        <v>405</v>
      </c>
    </row>
    <row r="33" spans="1:2" ht="14.25" customHeight="1">
      <c r="A33" s="7">
        <v>81520164</v>
      </c>
      <c r="B33" s="8" t="s">
        <v>406</v>
      </c>
    </row>
    <row r="34" spans="1:2" ht="14.25" customHeight="1">
      <c r="A34" s="7">
        <v>41521067</v>
      </c>
      <c r="B34" s="8" t="s">
        <v>407</v>
      </c>
    </row>
    <row r="35" spans="1:2" ht="14.25" customHeight="1">
      <c r="A35" s="7">
        <v>41521068</v>
      </c>
      <c r="B35" s="8" t="s">
        <v>407</v>
      </c>
    </row>
    <row r="36" spans="1:2" ht="14.25" customHeight="1">
      <c r="A36" s="7">
        <v>41521069</v>
      </c>
      <c r="B36" s="8" t="s">
        <v>407</v>
      </c>
    </row>
    <row r="37" spans="1:2" ht="14.25" customHeight="1">
      <c r="A37" s="7">
        <v>41521070</v>
      </c>
      <c r="B37" s="8" t="s">
        <v>407</v>
      </c>
    </row>
    <row r="38" spans="1:2" ht="14.25" customHeight="1">
      <c r="A38" s="7">
        <v>41521066</v>
      </c>
      <c r="B38" s="8" t="s">
        <v>407</v>
      </c>
    </row>
    <row r="39" spans="1:2" ht="14.25" customHeight="1">
      <c r="A39" s="7">
        <v>41521071</v>
      </c>
      <c r="B39" s="8" t="s">
        <v>407</v>
      </c>
    </row>
    <row r="40" spans="1:2" ht="14.25" customHeight="1">
      <c r="A40" s="7">
        <v>81521238</v>
      </c>
      <c r="B40" s="8" t="s">
        <v>378</v>
      </c>
    </row>
    <row r="41" spans="1:2" ht="14.25" customHeight="1">
      <c r="A41" s="7">
        <v>150210349</v>
      </c>
      <c r="B41" s="8" t="s">
        <v>408</v>
      </c>
    </row>
    <row r="42" spans="1:2" ht="14.25" customHeight="1">
      <c r="A42" s="7">
        <v>81521567</v>
      </c>
      <c r="B42" s="8" t="s">
        <v>409</v>
      </c>
    </row>
    <row r="43" spans="1:2" ht="14.25" customHeight="1">
      <c r="A43" s="7">
        <v>81521549</v>
      </c>
      <c r="B43" s="8" t="s">
        <v>410</v>
      </c>
    </row>
    <row r="44" spans="1:2" ht="14.25" customHeight="1">
      <c r="A44" s="10">
        <v>41521072</v>
      </c>
      <c r="B44" s="11" t="s">
        <v>411</v>
      </c>
    </row>
    <row r="45" spans="1:2" ht="14.25" customHeight="1">
      <c r="A45" s="1">
        <v>500580015</v>
      </c>
      <c r="B45" s="12" t="s">
        <v>412</v>
      </c>
    </row>
    <row r="46" spans="1:2" ht="14.25" customHeight="1">
      <c r="A46" s="1">
        <v>500580016</v>
      </c>
      <c r="B46" s="12" t="s">
        <v>413</v>
      </c>
    </row>
    <row r="47" spans="1:2" ht="14.25" customHeight="1">
      <c r="A47" s="1">
        <v>500580020</v>
      </c>
      <c r="B47" s="12" t="s">
        <v>414</v>
      </c>
    </row>
    <row r="48" spans="1:2" ht="14.25" customHeight="1">
      <c r="A48" s="1">
        <v>500580021</v>
      </c>
      <c r="B48" s="12" t="s">
        <v>415</v>
      </c>
    </row>
    <row r="49" spans="1:2" ht="14.25" customHeight="1">
      <c r="A49" s="1">
        <v>500580024</v>
      </c>
      <c r="B49" s="12" t="s">
        <v>416</v>
      </c>
    </row>
    <row r="50" spans="1:2" ht="14.25" customHeight="1">
      <c r="A50" s="1">
        <v>500580027</v>
      </c>
      <c r="B50" s="12" t="s">
        <v>417</v>
      </c>
    </row>
    <row r="51" spans="1:2" ht="14.25" customHeight="1">
      <c r="A51" s="1">
        <v>500580028</v>
      </c>
      <c r="B51" s="12" t="s">
        <v>418</v>
      </c>
    </row>
    <row r="52" spans="1:2" ht="14.25" customHeight="1">
      <c r="A52" s="1">
        <v>500580033</v>
      </c>
      <c r="B52" s="12" t="s">
        <v>419</v>
      </c>
    </row>
    <row r="53" spans="1:2" ht="14.25" customHeight="1">
      <c r="A53" s="1">
        <v>500580041</v>
      </c>
      <c r="B53" s="12" t="s">
        <v>420</v>
      </c>
    </row>
    <row r="54" spans="1:2" ht="14.25" customHeight="1">
      <c r="A54" s="1">
        <v>500580042</v>
      </c>
      <c r="B54" s="12" t="s">
        <v>421</v>
      </c>
    </row>
    <row r="55" spans="1:2" ht="14.25" customHeight="1">
      <c r="A55" s="1">
        <v>500580043</v>
      </c>
      <c r="B55" s="12" t="s">
        <v>422</v>
      </c>
    </row>
    <row r="56" spans="1:2" ht="14.25" customHeight="1">
      <c r="A56" s="1">
        <v>500580044</v>
      </c>
      <c r="B56" s="12" t="s">
        <v>423</v>
      </c>
    </row>
    <row r="57" spans="1:2" ht="14.25" customHeight="1">
      <c r="A57" s="1">
        <v>500580045</v>
      </c>
      <c r="B57" s="12" t="s">
        <v>424</v>
      </c>
    </row>
    <row r="58" spans="1:2" ht="14.25" customHeight="1">
      <c r="A58" s="1">
        <v>500580046</v>
      </c>
      <c r="B58" s="12" t="s">
        <v>425</v>
      </c>
    </row>
    <row r="59" spans="1:2" ht="14.25" customHeight="1">
      <c r="A59" s="1">
        <v>500580047</v>
      </c>
      <c r="B59" s="12" t="s">
        <v>426</v>
      </c>
    </row>
    <row r="60" spans="1:2" ht="14.25" customHeight="1">
      <c r="A60" s="1">
        <v>500580048</v>
      </c>
      <c r="B60" s="12" t="s">
        <v>427</v>
      </c>
    </row>
    <row r="61" spans="1:2" ht="14.25" customHeight="1">
      <c r="A61" s="1">
        <v>500580049</v>
      </c>
      <c r="B61" s="12" t="s">
        <v>428</v>
      </c>
    </row>
    <row r="62" spans="1:2" ht="14.25" customHeight="1">
      <c r="A62" s="1">
        <v>500580050</v>
      </c>
      <c r="B62" s="12" t="s">
        <v>429</v>
      </c>
    </row>
    <row r="63" spans="1:2" ht="14.25" customHeight="1">
      <c r="A63" s="1">
        <v>500580051</v>
      </c>
      <c r="B63" s="12" t="s">
        <v>430</v>
      </c>
    </row>
    <row r="64" spans="1:2" ht="14.25" customHeight="1">
      <c r="A64" s="1">
        <v>500580052</v>
      </c>
      <c r="B64" s="12" t="s">
        <v>431</v>
      </c>
    </row>
    <row r="65" spans="1:2" ht="14.25" customHeight="1">
      <c r="A65" s="1">
        <v>500580053</v>
      </c>
      <c r="B65" s="12" t="s">
        <v>432</v>
      </c>
    </row>
    <row r="66" spans="1:2" ht="14.25" customHeight="1">
      <c r="A66" s="1">
        <v>500580054</v>
      </c>
      <c r="B66" s="12" t="s">
        <v>433</v>
      </c>
    </row>
    <row r="67" spans="1:2" ht="14.25" customHeight="1">
      <c r="A67" s="1">
        <v>500580055</v>
      </c>
      <c r="B67" s="12" t="s">
        <v>434</v>
      </c>
    </row>
    <row r="68" spans="1:2" ht="14.25" customHeight="1">
      <c r="A68" s="1">
        <v>500580056</v>
      </c>
      <c r="B68" s="12" t="s">
        <v>435</v>
      </c>
    </row>
    <row r="69" spans="1:2" ht="14.25" customHeight="1">
      <c r="A69" s="1">
        <v>500580057</v>
      </c>
      <c r="B69" s="12" t="s">
        <v>436</v>
      </c>
    </row>
    <row r="70" spans="1:2" ht="14.25" customHeight="1">
      <c r="A70" s="1">
        <v>500580058</v>
      </c>
      <c r="B70" s="12" t="s">
        <v>437</v>
      </c>
    </row>
    <row r="71" spans="1:2" ht="14.25" customHeight="1">
      <c r="A71" s="1">
        <v>500580059</v>
      </c>
      <c r="B71" s="12" t="s">
        <v>438</v>
      </c>
    </row>
    <row r="72" spans="1:2" ht="14.25" customHeight="1">
      <c r="A72" s="1">
        <v>500580060</v>
      </c>
      <c r="B72" s="12" t="s">
        <v>439</v>
      </c>
    </row>
    <row r="73" spans="1:2" ht="14.25" customHeight="1">
      <c r="A73" s="1">
        <v>500580061</v>
      </c>
      <c r="B73" s="12" t="s">
        <v>440</v>
      </c>
    </row>
    <row r="74" spans="1:2" ht="14.25" customHeight="1">
      <c r="A74" s="1">
        <v>500580062</v>
      </c>
      <c r="B74" s="12" t="s">
        <v>441</v>
      </c>
    </row>
    <row r="75" spans="1:2" ht="14.25" customHeight="1">
      <c r="A75" s="1">
        <v>500580063</v>
      </c>
      <c r="B75" s="12" t="s">
        <v>442</v>
      </c>
    </row>
    <row r="76" spans="1:2" ht="14.25" customHeight="1">
      <c r="A76" s="1">
        <v>500580064</v>
      </c>
      <c r="B76" s="12" t="s">
        <v>443</v>
      </c>
    </row>
    <row r="77" spans="1:2" ht="14.25" customHeight="1">
      <c r="A77" s="1">
        <v>500580065</v>
      </c>
      <c r="B77" s="12" t="s">
        <v>444</v>
      </c>
    </row>
    <row r="78" spans="1:2" ht="14.25" customHeight="1">
      <c r="A78" s="1">
        <v>500580066</v>
      </c>
      <c r="B78" s="12" t="s">
        <v>445</v>
      </c>
    </row>
    <row r="79" spans="1:2" ht="14.25" customHeight="1">
      <c r="A79" s="1">
        <v>500580067</v>
      </c>
      <c r="B79" s="12" t="s">
        <v>446</v>
      </c>
    </row>
    <row r="80" spans="1:2" ht="14.25" customHeight="1">
      <c r="A80" s="1">
        <v>500580068</v>
      </c>
      <c r="B80" s="12" t="s">
        <v>447</v>
      </c>
    </row>
    <row r="81" spans="1:2" ht="14.25" customHeight="1">
      <c r="A81" s="1">
        <v>500580069</v>
      </c>
      <c r="B81" s="12" t="s">
        <v>448</v>
      </c>
    </row>
    <row r="82" spans="1:2" ht="14.25" customHeight="1">
      <c r="A82" s="1">
        <v>500580070</v>
      </c>
      <c r="B82" s="12" t="s">
        <v>449</v>
      </c>
    </row>
    <row r="83" spans="1:2" ht="14.25" customHeight="1">
      <c r="A83" s="1">
        <v>500580071</v>
      </c>
      <c r="B83" s="12" t="s">
        <v>450</v>
      </c>
    </row>
    <row r="84" spans="1:2" ht="14.25" customHeight="1">
      <c r="A84" s="1">
        <v>500580072</v>
      </c>
      <c r="B84" s="12" t="s">
        <v>451</v>
      </c>
    </row>
    <row r="85" spans="1:2" ht="14.25" customHeight="1">
      <c r="A85" s="1">
        <v>500580073</v>
      </c>
      <c r="B85" s="12" t="s">
        <v>452</v>
      </c>
    </row>
    <row r="86" spans="1:2" ht="14.25" customHeight="1">
      <c r="A86" s="1">
        <v>500580074</v>
      </c>
      <c r="B86" s="12" t="s">
        <v>453</v>
      </c>
    </row>
    <row r="87" spans="1:2" ht="14.25" customHeight="1">
      <c r="A87" s="1">
        <v>500580075</v>
      </c>
      <c r="B87" s="12" t="s">
        <v>454</v>
      </c>
    </row>
    <row r="88" spans="1:2" ht="14.25" customHeight="1">
      <c r="A88" s="1">
        <v>500580076</v>
      </c>
      <c r="B88" s="12" t="s">
        <v>455</v>
      </c>
    </row>
    <row r="89" spans="1:2" ht="14.25" customHeight="1">
      <c r="A89" s="1">
        <v>500580077</v>
      </c>
      <c r="B89" s="12" t="s">
        <v>456</v>
      </c>
    </row>
    <row r="90" spans="1:2" ht="14.25" customHeight="1">
      <c r="A90" s="1">
        <v>500580078</v>
      </c>
      <c r="B90" s="12" t="s">
        <v>457</v>
      </c>
    </row>
    <row r="91" spans="1:2" ht="14.25" customHeight="1">
      <c r="A91" s="1">
        <v>500580079</v>
      </c>
      <c r="B91" s="12" t="s">
        <v>458</v>
      </c>
    </row>
    <row r="92" spans="1:2" ht="14.25" customHeight="1">
      <c r="A92" s="1">
        <v>500580080</v>
      </c>
      <c r="B92" s="12" t="s">
        <v>459</v>
      </c>
    </row>
    <row r="93" spans="1:2" ht="14.25" customHeight="1">
      <c r="A93" s="1">
        <v>500580081</v>
      </c>
      <c r="B93" s="12" t="s">
        <v>460</v>
      </c>
    </row>
    <row r="94" spans="1:2" ht="14.25" customHeight="1">
      <c r="A94" s="1">
        <v>500580082</v>
      </c>
      <c r="B94" s="12" t="s">
        <v>461</v>
      </c>
    </row>
    <row r="95" spans="1:2" ht="14.25" customHeight="1">
      <c r="A95" s="1">
        <v>500580083</v>
      </c>
      <c r="B95" s="12" t="s">
        <v>462</v>
      </c>
    </row>
    <row r="96" spans="1:2" ht="14.25" customHeight="1">
      <c r="A96" s="1">
        <v>500580084</v>
      </c>
      <c r="B96" s="12" t="s">
        <v>463</v>
      </c>
    </row>
    <row r="97" spans="1:2" ht="14.25" customHeight="1">
      <c r="A97" s="1">
        <v>500580085</v>
      </c>
      <c r="B97" s="12" t="s">
        <v>464</v>
      </c>
    </row>
    <row r="98" spans="1:2" ht="14.25" customHeight="1">
      <c r="A98" s="1">
        <v>500580086</v>
      </c>
      <c r="B98" s="12" t="s">
        <v>465</v>
      </c>
    </row>
    <row r="99" spans="1:2" ht="14.25" customHeight="1">
      <c r="A99" s="1">
        <v>500580087</v>
      </c>
      <c r="B99" s="12" t="s">
        <v>466</v>
      </c>
    </row>
    <row r="100" spans="1:2" ht="14.25" customHeight="1">
      <c r="A100" s="1">
        <v>500580088</v>
      </c>
      <c r="B100" s="12" t="s">
        <v>467</v>
      </c>
    </row>
    <row r="101" spans="1:2" ht="14.25" customHeight="1">
      <c r="A101" s="1">
        <v>500580089</v>
      </c>
      <c r="B101" s="12" t="s">
        <v>468</v>
      </c>
    </row>
    <row r="102" spans="1:2" ht="14.25" customHeight="1">
      <c r="A102" s="1">
        <v>500580090</v>
      </c>
      <c r="B102" s="12" t="s">
        <v>469</v>
      </c>
    </row>
    <row r="103" spans="1:2" ht="14.25" customHeight="1">
      <c r="A103" s="1">
        <v>500580091</v>
      </c>
      <c r="B103" s="12" t="s">
        <v>470</v>
      </c>
    </row>
    <row r="104" spans="1:2" ht="14.25" customHeight="1">
      <c r="A104" s="1">
        <v>500580092</v>
      </c>
      <c r="B104" s="12" t="s">
        <v>471</v>
      </c>
    </row>
    <row r="105" spans="1:2" ht="14.25" customHeight="1">
      <c r="A105" s="1">
        <v>500580093</v>
      </c>
      <c r="B105" s="12" t="s">
        <v>472</v>
      </c>
    </row>
    <row r="106" spans="1:2" ht="14.25" customHeight="1">
      <c r="A106" s="1">
        <v>500580094</v>
      </c>
      <c r="B106" s="12" t="s">
        <v>473</v>
      </c>
    </row>
    <row r="107" spans="1:2" ht="14.25" customHeight="1">
      <c r="A107" s="1">
        <v>500580095</v>
      </c>
      <c r="B107" s="12" t="s">
        <v>474</v>
      </c>
    </row>
    <row r="108" spans="1:2" ht="14.25" customHeight="1">
      <c r="A108" s="1">
        <v>500580096</v>
      </c>
      <c r="B108" s="12" t="s">
        <v>475</v>
      </c>
    </row>
    <row r="109" spans="1:2" ht="14.25" customHeight="1">
      <c r="A109" s="1">
        <v>500580097</v>
      </c>
      <c r="B109" s="12" t="s">
        <v>476</v>
      </c>
    </row>
    <row r="110" spans="1:2" ht="14.25" customHeight="1">
      <c r="A110" s="1">
        <v>500580098</v>
      </c>
      <c r="B110" s="12" t="s">
        <v>477</v>
      </c>
    </row>
    <row r="111" spans="1:2" ht="14.25" customHeight="1">
      <c r="A111" s="1">
        <v>500580099</v>
      </c>
      <c r="B111" s="12" t="s">
        <v>478</v>
      </c>
    </row>
    <row r="112" spans="1:2" ht="14.25" customHeight="1">
      <c r="A112" s="1">
        <v>500580100</v>
      </c>
      <c r="B112" s="12" t="s">
        <v>479</v>
      </c>
    </row>
    <row r="113" spans="1:2" ht="14.25" customHeight="1">
      <c r="A113" s="1">
        <v>500580101</v>
      </c>
      <c r="B113" s="12" t="s">
        <v>480</v>
      </c>
    </row>
    <row r="114" spans="1:2" ht="14.25" customHeight="1">
      <c r="A114" s="1">
        <v>500580102</v>
      </c>
      <c r="B114" s="12" t="s">
        <v>481</v>
      </c>
    </row>
    <row r="115" spans="1:2" ht="14.25" customHeight="1">
      <c r="A115" s="1">
        <v>500580103</v>
      </c>
      <c r="B115" s="12" t="s">
        <v>482</v>
      </c>
    </row>
    <row r="116" spans="1:2" ht="14.25" customHeight="1">
      <c r="A116" s="1">
        <v>500580104</v>
      </c>
      <c r="B116" s="12" t="s">
        <v>483</v>
      </c>
    </row>
    <row r="117" spans="1:2" ht="14.25" customHeight="1">
      <c r="A117" s="1">
        <v>500580105</v>
      </c>
      <c r="B117" s="12" t="s">
        <v>484</v>
      </c>
    </row>
    <row r="118" spans="1:2" ht="14.25" customHeight="1">
      <c r="A118" s="1">
        <v>500580106</v>
      </c>
      <c r="B118" s="12" t="s">
        <v>485</v>
      </c>
    </row>
    <row r="119" spans="1:2" ht="14.25" customHeight="1">
      <c r="A119" s="1">
        <v>500580107</v>
      </c>
      <c r="B119" s="12" t="s">
        <v>486</v>
      </c>
    </row>
    <row r="120" spans="1:2" ht="14.25" customHeight="1">
      <c r="A120" s="1">
        <v>61524001</v>
      </c>
      <c r="B120" s="12" t="s">
        <v>487</v>
      </c>
    </row>
    <row r="121" spans="1:2" ht="14.25" customHeight="1">
      <c r="A121" s="1">
        <v>500580108</v>
      </c>
      <c r="B121" s="12" t="s">
        <v>488</v>
      </c>
    </row>
    <row r="122" spans="1:2" ht="14.25" customHeight="1">
      <c r="A122" s="1">
        <v>500580109</v>
      </c>
      <c r="B122" s="12" t="s">
        <v>489</v>
      </c>
    </row>
    <row r="123" spans="1:2" ht="14.25" customHeight="1">
      <c r="A123" s="1">
        <v>500580110</v>
      </c>
      <c r="B123" s="12" t="s">
        <v>490</v>
      </c>
    </row>
    <row r="124" spans="1:2" ht="14.25" customHeight="1">
      <c r="A124" s="1">
        <v>500580111</v>
      </c>
      <c r="B124" s="12" t="s">
        <v>491</v>
      </c>
    </row>
    <row r="125" spans="1:2" ht="14.25" customHeight="1">
      <c r="A125" s="1">
        <v>500580112</v>
      </c>
      <c r="B125" s="12" t="s">
        <v>492</v>
      </c>
    </row>
    <row r="126" spans="1:2" ht="14.25" customHeight="1">
      <c r="A126" s="1">
        <v>500580113</v>
      </c>
      <c r="B126" s="12" t="s">
        <v>493</v>
      </c>
    </row>
    <row r="127" spans="1:2" ht="14.25" customHeight="1">
      <c r="A127" s="1">
        <v>500580114</v>
      </c>
      <c r="B127" s="12" t="s">
        <v>494</v>
      </c>
    </row>
    <row r="128" spans="1:2" ht="14.25" customHeight="1">
      <c r="A128" s="1">
        <v>500580115</v>
      </c>
      <c r="B128" s="12" t="s">
        <v>495</v>
      </c>
    </row>
    <row r="129" spans="1:2" ht="14.25" customHeight="1">
      <c r="A129" s="1">
        <v>500580116</v>
      </c>
      <c r="B129" s="12" t="s">
        <v>496</v>
      </c>
    </row>
    <row r="130" spans="1:2" ht="14.25" customHeight="1">
      <c r="A130" s="1">
        <v>500580117</v>
      </c>
      <c r="B130" s="12" t="s">
        <v>497</v>
      </c>
    </row>
    <row r="131" spans="1:2" ht="14.25" customHeight="1">
      <c r="A131" s="1">
        <v>500580118</v>
      </c>
      <c r="B131" s="12" t="s">
        <v>498</v>
      </c>
    </row>
    <row r="132" spans="1:2" ht="14.25" customHeight="1">
      <c r="A132" s="1">
        <v>500580119</v>
      </c>
      <c r="B132" s="12" t="s">
        <v>499</v>
      </c>
    </row>
    <row r="133" spans="1:2" ht="14.25" customHeight="1">
      <c r="A133" s="1">
        <v>500580120</v>
      </c>
      <c r="B133" s="12" t="s">
        <v>500</v>
      </c>
    </row>
    <row r="134" spans="1:2" ht="14.25" customHeight="1">
      <c r="A134" s="1">
        <v>500580121</v>
      </c>
      <c r="B134" s="12" t="s">
        <v>501</v>
      </c>
    </row>
    <row r="135" spans="1:2" ht="14.25" customHeight="1">
      <c r="A135" s="1">
        <v>500580122</v>
      </c>
      <c r="B135" s="12" t="s">
        <v>502</v>
      </c>
    </row>
    <row r="136" spans="1:2" ht="14.25" customHeight="1">
      <c r="A136" s="1">
        <v>500580123</v>
      </c>
      <c r="B136" s="12" t="s">
        <v>503</v>
      </c>
    </row>
    <row r="137" spans="1:2" ht="14.25" customHeight="1">
      <c r="A137" s="1">
        <v>500580124</v>
      </c>
      <c r="B137" s="12" t="s">
        <v>504</v>
      </c>
    </row>
    <row r="138" spans="1:2" ht="14.25" customHeight="1">
      <c r="A138" s="1">
        <v>500580125</v>
      </c>
      <c r="B138" s="12" t="s">
        <v>505</v>
      </c>
    </row>
    <row r="139" spans="1:2" ht="14.25" customHeight="1">
      <c r="A139" s="1">
        <v>500580127</v>
      </c>
      <c r="B139" s="12" t="s">
        <v>506</v>
      </c>
    </row>
    <row r="140" spans="1:2" ht="14.25" customHeight="1">
      <c r="A140" s="1">
        <v>500580128</v>
      </c>
      <c r="B140" s="12" t="s">
        <v>507</v>
      </c>
    </row>
    <row r="141" spans="1:2" ht="14.25" customHeight="1">
      <c r="A141" s="1">
        <v>500580129</v>
      </c>
      <c r="B141" s="12" t="s">
        <v>508</v>
      </c>
    </row>
    <row r="142" spans="1:2" ht="14.25" customHeight="1">
      <c r="A142" s="1">
        <v>500580130</v>
      </c>
      <c r="B142" s="12" t="s">
        <v>509</v>
      </c>
    </row>
    <row r="143" spans="1:2" ht="14.25" customHeight="1">
      <c r="A143" s="1">
        <v>500580146</v>
      </c>
      <c r="B143" s="12" t="s">
        <v>510</v>
      </c>
    </row>
    <row r="144" spans="1:2" ht="14.25" customHeight="1">
      <c r="A144" s="1">
        <v>500580152</v>
      </c>
      <c r="B144" s="12" t="s">
        <v>511</v>
      </c>
    </row>
    <row r="145" spans="1:2" ht="14.25" customHeight="1">
      <c r="A145" s="1">
        <v>500580168</v>
      </c>
      <c r="B145" s="12" t="s">
        <v>512</v>
      </c>
    </row>
    <row r="146" spans="1:2" ht="14.25" customHeight="1">
      <c r="A146" s="1">
        <v>500580176</v>
      </c>
      <c r="B146" s="12" t="s">
        <v>513</v>
      </c>
    </row>
    <row r="147" spans="1:2" ht="14.25" customHeight="1">
      <c r="A147" s="1">
        <v>500580177</v>
      </c>
      <c r="B147" s="12" t="s">
        <v>514</v>
      </c>
    </row>
    <row r="148" spans="1:2" ht="14.25" customHeight="1">
      <c r="A148" s="1">
        <v>500580178</v>
      </c>
      <c r="B148" s="12" t="s">
        <v>515</v>
      </c>
    </row>
    <row r="149" spans="1:2" ht="14.25" customHeight="1">
      <c r="A149" s="1">
        <v>500580179</v>
      </c>
      <c r="B149" s="12" t="s">
        <v>516</v>
      </c>
    </row>
    <row r="150" spans="1:2" ht="14.25" customHeight="1">
      <c r="A150" s="1">
        <v>500580181</v>
      </c>
      <c r="B150" s="12" t="s">
        <v>517</v>
      </c>
    </row>
    <row r="151" spans="1:2" ht="14.25" customHeight="1">
      <c r="A151" s="1">
        <v>500580190</v>
      </c>
      <c r="B151" s="12" t="s">
        <v>518</v>
      </c>
    </row>
    <row r="152" spans="1:2" ht="14.25" customHeight="1">
      <c r="A152" s="1">
        <v>500580191</v>
      </c>
      <c r="B152" s="12" t="s">
        <v>519</v>
      </c>
    </row>
    <row r="153" spans="1:2" ht="14.25" customHeight="1">
      <c r="A153" s="1">
        <v>500580192</v>
      </c>
      <c r="B153" s="12" t="s">
        <v>520</v>
      </c>
    </row>
    <row r="154" spans="1:2" ht="14.25" customHeight="1">
      <c r="A154" s="1">
        <v>500580193</v>
      </c>
      <c r="B154" s="12" t="s">
        <v>521</v>
      </c>
    </row>
    <row r="155" spans="1:2" ht="14.25" customHeight="1">
      <c r="A155" s="1">
        <v>500580197</v>
      </c>
      <c r="B155" s="12" t="s">
        <v>522</v>
      </c>
    </row>
    <row r="156" spans="1:2" ht="14.25" customHeight="1">
      <c r="A156" s="1">
        <v>500580212</v>
      </c>
      <c r="B156" s="12" t="s">
        <v>523</v>
      </c>
    </row>
    <row r="157" spans="1:2" ht="14.25" customHeight="1">
      <c r="A157" s="1">
        <v>500580213</v>
      </c>
      <c r="B157" s="12" t="s">
        <v>524</v>
      </c>
    </row>
    <row r="158" spans="1:2" ht="14.25" customHeight="1">
      <c r="A158" s="1">
        <v>500580216</v>
      </c>
      <c r="B158" s="12" t="s">
        <v>525</v>
      </c>
    </row>
    <row r="159" spans="1:2" ht="14.25" customHeight="1">
      <c r="A159" s="1">
        <v>500580217</v>
      </c>
      <c r="B159" s="12" t="s">
        <v>526</v>
      </c>
    </row>
    <row r="160" spans="1:2" ht="14.25" customHeight="1">
      <c r="A160" s="1">
        <v>500580218</v>
      </c>
      <c r="B160" s="12" t="s">
        <v>527</v>
      </c>
    </row>
    <row r="161" spans="1:2" ht="14.25" customHeight="1">
      <c r="A161" s="1">
        <v>500580219</v>
      </c>
      <c r="B161" s="12" t="s">
        <v>528</v>
      </c>
    </row>
    <row r="162" spans="1:2" ht="14.25" customHeight="1">
      <c r="A162" s="1">
        <v>500580220</v>
      </c>
      <c r="B162" s="12" t="s">
        <v>529</v>
      </c>
    </row>
    <row r="163" spans="1:2" ht="14.25" customHeight="1">
      <c r="A163" s="1">
        <v>500580221</v>
      </c>
      <c r="B163" s="12" t="s">
        <v>530</v>
      </c>
    </row>
    <row r="164" spans="1:2" ht="14.25" customHeight="1">
      <c r="A164" s="1">
        <v>500580222</v>
      </c>
      <c r="B164" s="12" t="s">
        <v>531</v>
      </c>
    </row>
    <row r="165" spans="1:2" ht="14.25" customHeight="1">
      <c r="A165" s="1">
        <v>500580223</v>
      </c>
      <c r="B165" s="12" t="s">
        <v>532</v>
      </c>
    </row>
    <row r="166" spans="1:2" ht="14.25" customHeight="1">
      <c r="A166" s="1">
        <v>500580224</v>
      </c>
      <c r="B166" s="12" t="s">
        <v>533</v>
      </c>
    </row>
    <row r="167" spans="1:2" ht="14.25" customHeight="1">
      <c r="A167" s="1">
        <v>500580225</v>
      </c>
      <c r="B167" s="12" t="s">
        <v>534</v>
      </c>
    </row>
    <row r="168" spans="1:2" ht="14.25" customHeight="1">
      <c r="A168" s="1">
        <v>500580230</v>
      </c>
      <c r="B168" s="12" t="s">
        <v>535</v>
      </c>
    </row>
    <row r="169" spans="1:2" ht="14.25" customHeight="1">
      <c r="A169" s="1">
        <v>500580239</v>
      </c>
      <c r="B169" s="12" t="s">
        <v>536</v>
      </c>
    </row>
    <row r="170" spans="1:2" ht="14.25" customHeight="1">
      <c r="A170" s="1">
        <v>500580242</v>
      </c>
      <c r="B170" s="12" t="s">
        <v>537</v>
      </c>
    </row>
    <row r="171" spans="1:2" ht="14.25" customHeight="1">
      <c r="A171" s="1">
        <v>500580244</v>
      </c>
      <c r="B171" s="12" t="s">
        <v>538</v>
      </c>
    </row>
    <row r="172" spans="1:2" ht="14.25" customHeight="1">
      <c r="A172" s="1">
        <v>500580249</v>
      </c>
      <c r="B172" s="12" t="s">
        <v>539</v>
      </c>
    </row>
    <row r="173" spans="1:2" ht="14.25" customHeight="1">
      <c r="A173" s="1">
        <v>500580250</v>
      </c>
      <c r="B173" s="12" t="s">
        <v>540</v>
      </c>
    </row>
    <row r="174" spans="1:2" ht="14.25" customHeight="1">
      <c r="A174" s="1">
        <v>500580251</v>
      </c>
      <c r="B174" s="12" t="s">
        <v>541</v>
      </c>
    </row>
    <row r="175" spans="1:2" ht="14.25" customHeight="1">
      <c r="A175" s="1">
        <v>500580253</v>
      </c>
      <c r="B175" s="12" t="s">
        <v>542</v>
      </c>
    </row>
    <row r="176" spans="1:2" ht="14.25" customHeight="1">
      <c r="A176" s="1">
        <v>500580257</v>
      </c>
      <c r="B176" s="12" t="s">
        <v>543</v>
      </c>
    </row>
    <row r="177" spans="1:2" ht="14.25" customHeight="1">
      <c r="A177" s="1">
        <v>500580261</v>
      </c>
      <c r="B177" s="12" t="s">
        <v>544</v>
      </c>
    </row>
    <row r="178" spans="1:2" ht="14.25" customHeight="1">
      <c r="A178" s="1">
        <v>500580262</v>
      </c>
      <c r="B178" s="12" t="s">
        <v>545</v>
      </c>
    </row>
    <row r="179" spans="1:2" ht="14.25" customHeight="1">
      <c r="A179" s="1">
        <v>500580263</v>
      </c>
      <c r="B179" s="12" t="s">
        <v>546</v>
      </c>
    </row>
    <row r="180" spans="1:2" ht="14.25" customHeight="1">
      <c r="A180" s="1">
        <v>500580264</v>
      </c>
      <c r="B180" s="12" t="s">
        <v>547</v>
      </c>
    </row>
    <row r="181" spans="1:2" ht="14.25" customHeight="1">
      <c r="A181" s="1">
        <v>500580265</v>
      </c>
      <c r="B181" s="12" t="s">
        <v>548</v>
      </c>
    </row>
    <row r="182" spans="1:2" ht="14.25" customHeight="1">
      <c r="A182" s="1">
        <v>500580273</v>
      </c>
      <c r="B182" s="12" t="s">
        <v>549</v>
      </c>
    </row>
    <row r="183" spans="1:2" ht="14.25" customHeight="1">
      <c r="A183" s="1">
        <v>500580280</v>
      </c>
      <c r="B183" s="12" t="s">
        <v>550</v>
      </c>
    </row>
    <row r="184" spans="1:2" ht="14.25" customHeight="1">
      <c r="A184" s="1">
        <v>500580281</v>
      </c>
      <c r="B184" s="12" t="s">
        <v>551</v>
      </c>
    </row>
    <row r="185" spans="1:2" ht="14.25" customHeight="1">
      <c r="A185" s="1">
        <v>500580288</v>
      </c>
      <c r="B185" s="12" t="s">
        <v>552</v>
      </c>
    </row>
    <row r="186" spans="1:2" ht="14.25" customHeight="1">
      <c r="A186" s="1">
        <v>500580302</v>
      </c>
      <c r="B186" s="12" t="s">
        <v>553</v>
      </c>
    </row>
    <row r="187" spans="1:2" ht="14.25" customHeight="1">
      <c r="A187" s="1">
        <v>500580325</v>
      </c>
      <c r="B187" s="12" t="s">
        <v>554</v>
      </c>
    </row>
    <row r="188" spans="1:2" ht="14.25" customHeight="1">
      <c r="A188" s="1">
        <v>500580328</v>
      </c>
      <c r="B188" s="12" t="s">
        <v>555</v>
      </c>
    </row>
    <row r="189" spans="1:2" ht="14.25" customHeight="1">
      <c r="A189" s="1">
        <v>500580346</v>
      </c>
      <c r="B189" s="12" t="s">
        <v>556</v>
      </c>
    </row>
    <row r="190" spans="1:2" ht="14.25" customHeight="1">
      <c r="A190" s="1">
        <v>500580347</v>
      </c>
      <c r="B190" s="12" t="s">
        <v>557</v>
      </c>
    </row>
    <row r="191" spans="1:2" ht="14.25" customHeight="1">
      <c r="A191" s="1">
        <v>500580348</v>
      </c>
      <c r="B191" s="12" t="s">
        <v>558</v>
      </c>
    </row>
    <row r="192" spans="1:2" ht="14.25" customHeight="1">
      <c r="A192" s="1">
        <v>500580349</v>
      </c>
      <c r="B192" s="12" t="s">
        <v>408</v>
      </c>
    </row>
    <row r="193" spans="1:2" ht="14.25" customHeight="1">
      <c r="A193" s="1">
        <v>500580368</v>
      </c>
      <c r="B193" s="12" t="s">
        <v>559</v>
      </c>
    </row>
    <row r="194" spans="1:2" ht="14.25" customHeight="1">
      <c r="A194" s="1">
        <v>500580372</v>
      </c>
      <c r="B194" s="12" t="s">
        <v>560</v>
      </c>
    </row>
    <row r="195" spans="1:2" ht="14.25" customHeight="1">
      <c r="A195" s="1">
        <v>500580376</v>
      </c>
      <c r="B195" s="12" t="s">
        <v>561</v>
      </c>
    </row>
    <row r="196" spans="1:2" ht="14.25" customHeight="1">
      <c r="A196" s="1">
        <v>500580379</v>
      </c>
      <c r="B196" s="12" t="s">
        <v>562</v>
      </c>
    </row>
    <row r="197" spans="1:2" ht="14.25" customHeight="1">
      <c r="A197" s="1">
        <v>500580382</v>
      </c>
      <c r="B197" s="12" t="s">
        <v>563</v>
      </c>
    </row>
    <row r="198" spans="1:2" ht="14.25" customHeight="1">
      <c r="A198" s="1">
        <v>500580422</v>
      </c>
      <c r="B198" s="12" t="s">
        <v>564</v>
      </c>
    </row>
    <row r="199" spans="1:2" ht="14.25" customHeight="1">
      <c r="A199" s="1">
        <v>500580433</v>
      </c>
      <c r="B199" s="12" t="s">
        <v>565</v>
      </c>
    </row>
    <row r="200" spans="1:2" ht="14.25" customHeight="1">
      <c r="A200" s="1">
        <v>500580437</v>
      </c>
      <c r="B200" s="12" t="s">
        <v>566</v>
      </c>
    </row>
    <row r="201" spans="1:2" ht="14.25" customHeight="1">
      <c r="A201" s="1">
        <v>500580438</v>
      </c>
      <c r="B201" s="12" t="s">
        <v>567</v>
      </c>
    </row>
    <row r="202" spans="1:2" ht="14.25" customHeight="1">
      <c r="A202" s="1">
        <v>500580439</v>
      </c>
      <c r="B202" s="12" t="s">
        <v>568</v>
      </c>
    </row>
    <row r="203" spans="1:2" ht="14.25" customHeight="1">
      <c r="A203" s="1">
        <v>500580442</v>
      </c>
      <c r="B203" s="12" t="s">
        <v>569</v>
      </c>
    </row>
    <row r="204" spans="1:2" ht="14.25" customHeight="1">
      <c r="A204" s="1">
        <v>500580443</v>
      </c>
      <c r="B204" s="12" t="s">
        <v>570</v>
      </c>
    </row>
    <row r="205" spans="1:2" ht="14.25" customHeight="1">
      <c r="A205" s="1">
        <v>500580444</v>
      </c>
      <c r="B205" s="12" t="s">
        <v>571</v>
      </c>
    </row>
    <row r="206" spans="1:2" ht="14.25" customHeight="1">
      <c r="A206" s="1">
        <v>500580447</v>
      </c>
      <c r="B206" s="12" t="s">
        <v>572</v>
      </c>
    </row>
    <row r="207" spans="1:2" ht="14.25" customHeight="1">
      <c r="A207" s="1">
        <v>500580448</v>
      </c>
      <c r="B207" s="12" t="s">
        <v>573</v>
      </c>
    </row>
    <row r="208" spans="1:2" ht="14.25" customHeight="1">
      <c r="A208" s="1">
        <v>500580451</v>
      </c>
      <c r="B208" s="12" t="s">
        <v>574</v>
      </c>
    </row>
    <row r="209" spans="1:2" ht="14.25" customHeight="1">
      <c r="A209" s="1">
        <v>500580454</v>
      </c>
      <c r="B209" s="12" t="s">
        <v>575</v>
      </c>
    </row>
    <row r="210" spans="1:2" ht="14.25" customHeight="1">
      <c r="A210" s="1">
        <v>500580455</v>
      </c>
      <c r="B210" s="12" t="s">
        <v>576</v>
      </c>
    </row>
    <row r="211" spans="1:2" ht="14.25" customHeight="1">
      <c r="A211" s="1">
        <v>500580465</v>
      </c>
      <c r="B211" s="12" t="s">
        <v>577</v>
      </c>
    </row>
    <row r="212" spans="1:2" ht="14.25" customHeight="1">
      <c r="A212" s="1">
        <v>500580474</v>
      </c>
      <c r="B212" s="12" t="s">
        <v>578</v>
      </c>
    </row>
    <row r="213" spans="1:2" ht="14.25" customHeight="1">
      <c r="A213" s="1">
        <v>500580480</v>
      </c>
      <c r="B213" s="12" t="s">
        <v>579</v>
      </c>
    </row>
    <row r="214" spans="1:2" ht="14.25" customHeight="1">
      <c r="A214" s="1">
        <v>500580481</v>
      </c>
      <c r="B214" s="12" t="s">
        <v>580</v>
      </c>
    </row>
    <row r="215" spans="1:2" ht="14.25" customHeight="1">
      <c r="A215" s="1">
        <v>500580482</v>
      </c>
      <c r="B215" s="12" t="s">
        <v>581</v>
      </c>
    </row>
    <row r="216" spans="1:2" ht="14.25" customHeight="1">
      <c r="A216" s="1">
        <v>500580486</v>
      </c>
      <c r="B216" s="12" t="s">
        <v>582</v>
      </c>
    </row>
    <row r="217" spans="1:2" ht="14.25" customHeight="1">
      <c r="A217" s="1">
        <v>500580487</v>
      </c>
      <c r="B217" s="12" t="s">
        <v>583</v>
      </c>
    </row>
    <row r="218" spans="1:2" ht="14.25" customHeight="1">
      <c r="A218" s="1">
        <v>500580503</v>
      </c>
      <c r="B218" s="12" t="s">
        <v>584</v>
      </c>
    </row>
    <row r="219" spans="1:2" ht="14.25" customHeight="1">
      <c r="A219" s="1">
        <v>500580504</v>
      </c>
      <c r="B219" s="12" t="s">
        <v>585</v>
      </c>
    </row>
    <row r="220" spans="1:2" ht="14.25" customHeight="1">
      <c r="A220" s="1">
        <v>500580508</v>
      </c>
      <c r="B220" s="12" t="s">
        <v>586</v>
      </c>
    </row>
    <row r="221" spans="1:2" ht="14.25" customHeight="1">
      <c r="A221" s="1">
        <v>500580510</v>
      </c>
      <c r="B221" s="12" t="s">
        <v>587</v>
      </c>
    </row>
    <row r="222" spans="1:2" ht="14.25" customHeight="1">
      <c r="A222" s="1">
        <v>500580512</v>
      </c>
      <c r="B222" s="12" t="s">
        <v>588</v>
      </c>
    </row>
    <row r="223" spans="1:2" ht="14.25" customHeight="1">
      <c r="A223" s="1">
        <v>500580521</v>
      </c>
      <c r="B223" s="12" t="s">
        <v>589</v>
      </c>
    </row>
    <row r="224" spans="1:2" ht="14.25" customHeight="1">
      <c r="A224" s="1">
        <v>500580522</v>
      </c>
      <c r="B224" s="12" t="s">
        <v>590</v>
      </c>
    </row>
    <row r="225" spans="1:2" ht="14.25" customHeight="1">
      <c r="A225" s="1">
        <v>500584100</v>
      </c>
      <c r="B225" s="12" t="s">
        <v>591</v>
      </c>
    </row>
    <row r="226" spans="1:2" ht="14.25" customHeight="1">
      <c r="A226" s="13">
        <v>500589999</v>
      </c>
      <c r="B226" s="14" t="s">
        <v>592</v>
      </c>
    </row>
    <row r="227" spans="1:2" ht="14.25" customHeight="1">
      <c r="A227" s="7">
        <v>3173004</v>
      </c>
      <c r="B227" s="8" t="s">
        <v>593</v>
      </c>
    </row>
    <row r="228" spans="1:2" ht="14.25" customHeight="1">
      <c r="A228" s="7">
        <v>3173016</v>
      </c>
      <c r="B228" s="8" t="s">
        <v>593</v>
      </c>
    </row>
    <row r="229" spans="1:2" ht="14.25" customHeight="1">
      <c r="A229" s="7">
        <v>31521043</v>
      </c>
      <c r="B229" s="8" t="s">
        <v>594</v>
      </c>
    </row>
    <row r="230" spans="1:2" ht="14.25" customHeight="1">
      <c r="A230" s="7">
        <v>31521032</v>
      </c>
      <c r="B230" s="8" t="s">
        <v>595</v>
      </c>
    </row>
    <row r="231" spans="1:2" ht="14.25" customHeight="1">
      <c r="A231" s="7">
        <v>31521033</v>
      </c>
      <c r="B231" s="8" t="s">
        <v>595</v>
      </c>
    </row>
    <row r="232" spans="1:2" ht="14.25" customHeight="1">
      <c r="A232" s="7">
        <v>31521034</v>
      </c>
      <c r="B232" s="8" t="s">
        <v>595</v>
      </c>
    </row>
    <row r="233" spans="1:2" ht="14.25" customHeight="1">
      <c r="A233" s="7">
        <v>31521035</v>
      </c>
      <c r="B233" s="8" t="s">
        <v>595</v>
      </c>
    </row>
    <row r="234" spans="1:2" ht="14.25" customHeight="1">
      <c r="A234" s="7">
        <v>31521036</v>
      </c>
      <c r="B234" s="8" t="s">
        <v>595</v>
      </c>
    </row>
    <row r="235" spans="1:2" ht="14.25" customHeight="1">
      <c r="A235" s="7">
        <v>31521037</v>
      </c>
      <c r="B235" s="8" t="s">
        <v>595</v>
      </c>
    </row>
    <row r="236" spans="1:2" ht="14.25" customHeight="1">
      <c r="A236" s="7">
        <v>31521038</v>
      </c>
      <c r="B236" s="8" t="s">
        <v>595</v>
      </c>
    </row>
    <row r="237" spans="1:2" ht="14.25" customHeight="1">
      <c r="A237" s="7">
        <v>31521039</v>
      </c>
      <c r="B237" s="8" t="s">
        <v>595</v>
      </c>
    </row>
    <row r="238" spans="1:2" ht="14.25" customHeight="1">
      <c r="A238" s="7">
        <v>31521040</v>
      </c>
      <c r="B238" s="8" t="s">
        <v>595</v>
      </c>
    </row>
    <row r="239" spans="1:2" ht="14.25" customHeight="1">
      <c r="A239" s="7">
        <v>31521041</v>
      </c>
      <c r="B239" s="8" t="s">
        <v>595</v>
      </c>
    </row>
    <row r="240" spans="1:2" ht="14.25" customHeight="1">
      <c r="A240" s="7">
        <v>31521042</v>
      </c>
      <c r="B240" s="8" t="s">
        <v>595</v>
      </c>
    </row>
    <row r="241" spans="1:2" ht="14.25" customHeight="1">
      <c r="A241" s="7">
        <v>3173002</v>
      </c>
      <c r="B241" s="8" t="s">
        <v>596</v>
      </c>
    </row>
    <row r="242" spans="1:2" ht="14.25" customHeight="1">
      <c r="A242" s="7">
        <v>3173011</v>
      </c>
      <c r="B242" s="8" t="s">
        <v>596</v>
      </c>
    </row>
    <row r="243" spans="1:2" ht="14.25" customHeight="1">
      <c r="A243" s="7">
        <v>7173003</v>
      </c>
      <c r="B243" s="8" t="s">
        <v>597</v>
      </c>
    </row>
    <row r="244" spans="1:2" ht="14.25" customHeight="1">
      <c r="A244" s="7">
        <v>7157500</v>
      </c>
      <c r="B244" s="8" t="s">
        <v>598</v>
      </c>
    </row>
    <row r="245" spans="1:2" ht="14.25" customHeight="1">
      <c r="A245" s="7">
        <v>17320752</v>
      </c>
      <c r="B245" s="8" t="s">
        <v>599</v>
      </c>
    </row>
    <row r="246" spans="1:2" ht="14.25" customHeight="1">
      <c r="A246" s="7">
        <v>81521413</v>
      </c>
      <c r="B246" s="8" t="s">
        <v>600</v>
      </c>
    </row>
    <row r="247" spans="1:2" ht="14.25" customHeight="1">
      <c r="A247" s="7">
        <v>81521414</v>
      </c>
      <c r="B247" s="8" t="s">
        <v>600</v>
      </c>
    </row>
    <row r="248" spans="1:2" ht="14.25" customHeight="1">
      <c r="A248" s="7">
        <v>81521415</v>
      </c>
      <c r="B248" s="8" t="s">
        <v>600</v>
      </c>
    </row>
    <row r="249" spans="1:2" ht="14.25" customHeight="1">
      <c r="A249" s="7">
        <v>15750001</v>
      </c>
      <c r="B249" s="8" t="s">
        <v>601</v>
      </c>
    </row>
    <row r="250" spans="1:2" ht="14.25" customHeight="1">
      <c r="A250" s="7">
        <v>15750002</v>
      </c>
      <c r="B250" s="8" t="s">
        <v>601</v>
      </c>
    </row>
    <row r="251" spans="1:2" ht="14.25" customHeight="1">
      <c r="A251" s="7">
        <v>32030027</v>
      </c>
      <c r="B251" s="8" t="s">
        <v>602</v>
      </c>
    </row>
    <row r="252" spans="1:2" ht="14.25" customHeight="1">
      <c r="A252" s="7">
        <v>32030060</v>
      </c>
      <c r="B252" s="8" t="s">
        <v>602</v>
      </c>
    </row>
    <row r="253" spans="1:2" ht="14.25" customHeight="1">
      <c r="A253" s="7">
        <v>22030215</v>
      </c>
      <c r="B253" s="8" t="s">
        <v>603</v>
      </c>
    </row>
    <row r="254" spans="1:2" ht="14.25" customHeight="1">
      <c r="A254" s="7">
        <v>22030226</v>
      </c>
      <c r="B254" s="8" t="s">
        <v>603</v>
      </c>
    </row>
    <row r="255" spans="1:2" ht="14.25" customHeight="1">
      <c r="A255" s="7">
        <v>32030063</v>
      </c>
      <c r="B255" s="8" t="s">
        <v>603</v>
      </c>
    </row>
    <row r="256" spans="1:2" ht="14.25" customHeight="1">
      <c r="A256" s="7">
        <v>32030077</v>
      </c>
      <c r="B256" s="8" t="s">
        <v>603</v>
      </c>
    </row>
    <row r="257" spans="1:2" ht="14.25" customHeight="1">
      <c r="A257" s="7">
        <v>32030083</v>
      </c>
      <c r="B257" s="8" t="s">
        <v>603</v>
      </c>
    </row>
    <row r="258" spans="1:2" ht="14.25" customHeight="1">
      <c r="A258" s="7">
        <v>22030100</v>
      </c>
      <c r="B258" s="8" t="s">
        <v>604</v>
      </c>
    </row>
    <row r="259" spans="1:2" ht="14.25" customHeight="1">
      <c r="A259" s="7">
        <v>32030033</v>
      </c>
      <c r="B259" s="8" t="s">
        <v>605</v>
      </c>
    </row>
    <row r="260" spans="1:2" ht="14.25" customHeight="1">
      <c r="A260" s="7">
        <v>32030061</v>
      </c>
      <c r="B260" s="8" t="s">
        <v>605</v>
      </c>
    </row>
    <row r="261" spans="1:2" ht="14.25" customHeight="1">
      <c r="A261" s="7">
        <v>22030188</v>
      </c>
      <c r="B261" s="8" t="s">
        <v>606</v>
      </c>
    </row>
    <row r="262" spans="1:2" ht="14.25" customHeight="1">
      <c r="A262" s="7">
        <v>1732440</v>
      </c>
      <c r="B262" s="8" t="s">
        <v>607</v>
      </c>
    </row>
    <row r="263" spans="1:2" ht="14.25" customHeight="1">
      <c r="A263" s="7">
        <v>22030066</v>
      </c>
      <c r="B263" s="8" t="s">
        <v>607</v>
      </c>
    </row>
    <row r="264" spans="1:2" ht="14.25" customHeight="1">
      <c r="A264" s="7">
        <v>22030067</v>
      </c>
      <c r="B264" s="8" t="s">
        <v>607</v>
      </c>
    </row>
    <row r="265" spans="1:2" ht="14.25" customHeight="1">
      <c r="A265" s="7">
        <v>22030068</v>
      </c>
      <c r="B265" s="8" t="s">
        <v>607</v>
      </c>
    </row>
    <row r="266" spans="1:2" ht="14.25" customHeight="1">
      <c r="A266" s="7">
        <v>22030069</v>
      </c>
      <c r="B266" s="8" t="s">
        <v>607</v>
      </c>
    </row>
    <row r="267" spans="1:2" ht="14.25" customHeight="1">
      <c r="A267" s="7">
        <v>15750003</v>
      </c>
      <c r="B267" s="8" t="s">
        <v>608</v>
      </c>
    </row>
    <row r="268" spans="1:2" ht="14.25" customHeight="1">
      <c r="A268" s="7">
        <v>22030185</v>
      </c>
      <c r="B268" s="8" t="s">
        <v>607</v>
      </c>
    </row>
    <row r="269" spans="1:2" ht="14.25" customHeight="1">
      <c r="A269" s="7">
        <v>22030210</v>
      </c>
      <c r="B269" s="8" t="s">
        <v>607</v>
      </c>
    </row>
    <row r="270" spans="1:2" ht="14.25" customHeight="1">
      <c r="A270" s="7">
        <v>81521418</v>
      </c>
      <c r="B270" s="8" t="s">
        <v>609</v>
      </c>
    </row>
    <row r="271" spans="1:2" ht="14.25" customHeight="1">
      <c r="A271" s="7">
        <v>22030211</v>
      </c>
      <c r="B271" s="8" t="s">
        <v>607</v>
      </c>
    </row>
    <row r="272" spans="1:2" ht="14.25" customHeight="1">
      <c r="A272" s="7">
        <v>81521533</v>
      </c>
      <c r="B272" s="8" t="s">
        <v>610</v>
      </c>
    </row>
    <row r="273" spans="1:2" ht="14.25" customHeight="1">
      <c r="A273" s="7">
        <v>14010158</v>
      </c>
      <c r="B273" s="8" t="s">
        <v>611</v>
      </c>
    </row>
    <row r="274" spans="1:2" ht="14.25" customHeight="1">
      <c r="A274" s="7">
        <v>81521534</v>
      </c>
      <c r="B274" s="8" t="s">
        <v>610</v>
      </c>
    </row>
    <row r="275" spans="1:2" ht="14.25" customHeight="1">
      <c r="A275" s="7">
        <v>12010006</v>
      </c>
      <c r="B275" s="8" t="s">
        <v>612</v>
      </c>
    </row>
    <row r="276" spans="1:2" ht="14.25" customHeight="1">
      <c r="A276" s="7">
        <v>81521433</v>
      </c>
      <c r="B276" s="8" t="s">
        <v>613</v>
      </c>
    </row>
    <row r="277" spans="1:2" ht="14.25" customHeight="1">
      <c r="A277" s="7">
        <v>15420004</v>
      </c>
      <c r="B277" s="8" t="s">
        <v>614</v>
      </c>
    </row>
    <row r="278" spans="1:2" ht="14.25" customHeight="1">
      <c r="A278" s="7">
        <v>22030071</v>
      </c>
      <c r="B278" s="8" t="s">
        <v>615</v>
      </c>
    </row>
    <row r="279" spans="1:2" ht="14.25" customHeight="1">
      <c r="A279" s="7">
        <v>1732227</v>
      </c>
      <c r="B279" s="8" t="s">
        <v>616</v>
      </c>
    </row>
    <row r="280" spans="1:2" ht="14.25" customHeight="1">
      <c r="A280" s="7">
        <v>12010007</v>
      </c>
      <c r="B280" s="8" t="s">
        <v>612</v>
      </c>
    </row>
    <row r="281" spans="1:2" ht="14.25" customHeight="1">
      <c r="A281" s="7">
        <v>12070008</v>
      </c>
      <c r="B281" s="8" t="s">
        <v>617</v>
      </c>
    </row>
    <row r="282" spans="1:2" ht="14.25" customHeight="1">
      <c r="A282" s="7">
        <v>22030122</v>
      </c>
      <c r="B282" s="8" t="s">
        <v>618</v>
      </c>
    </row>
    <row r="283" spans="1:2" ht="14.25" customHeight="1">
      <c r="A283" s="7">
        <v>22030123</v>
      </c>
      <c r="B283" s="8" t="s">
        <v>618</v>
      </c>
    </row>
    <row r="284" spans="1:2" ht="14.25" customHeight="1">
      <c r="A284" s="7">
        <v>41521012</v>
      </c>
      <c r="B284" s="8" t="s">
        <v>619</v>
      </c>
    </row>
    <row r="285" spans="1:2" ht="14.25" customHeight="1">
      <c r="A285" s="7">
        <v>22030078</v>
      </c>
      <c r="B285" s="8" t="s">
        <v>620</v>
      </c>
    </row>
    <row r="286" spans="1:2" ht="14.25" customHeight="1">
      <c r="A286" s="7">
        <v>1732619</v>
      </c>
      <c r="B286" s="8" t="s">
        <v>621</v>
      </c>
    </row>
    <row r="287" spans="1:2" ht="14.25" customHeight="1">
      <c r="A287" s="7">
        <v>32030019</v>
      </c>
      <c r="B287" s="8" t="s">
        <v>622</v>
      </c>
    </row>
    <row r="288" spans="1:2" ht="14.25" customHeight="1">
      <c r="A288" s="7">
        <v>22030029</v>
      </c>
      <c r="B288" s="8" t="s">
        <v>623</v>
      </c>
    </row>
    <row r="289" spans="1:2" ht="14.25" customHeight="1">
      <c r="A289" s="7">
        <v>22030030</v>
      </c>
      <c r="B289" s="8" t="s">
        <v>623</v>
      </c>
    </row>
    <row r="290" spans="1:2" ht="14.25" customHeight="1">
      <c r="A290" s="7">
        <v>22030031</v>
      </c>
      <c r="B290" s="8" t="s">
        <v>623</v>
      </c>
    </row>
    <row r="291" spans="1:2" ht="14.25" customHeight="1">
      <c r="A291" s="7">
        <v>22030032</v>
      </c>
      <c r="B291" s="8" t="s">
        <v>623</v>
      </c>
    </row>
    <row r="292" spans="1:2" ht="14.25" customHeight="1">
      <c r="A292" s="7">
        <v>22030033</v>
      </c>
      <c r="B292" s="8" t="s">
        <v>623</v>
      </c>
    </row>
    <row r="293" spans="1:2" ht="14.25" customHeight="1">
      <c r="A293" s="7">
        <v>22030034</v>
      </c>
      <c r="B293" s="8" t="s">
        <v>623</v>
      </c>
    </row>
    <row r="294" spans="1:2" ht="14.25" customHeight="1">
      <c r="A294" s="7">
        <v>22030035</v>
      </c>
      <c r="B294" s="8" t="s">
        <v>623</v>
      </c>
    </row>
    <row r="295" spans="1:2" ht="14.25" customHeight="1">
      <c r="A295" s="7">
        <v>22030037</v>
      </c>
      <c r="B295" s="8" t="s">
        <v>623</v>
      </c>
    </row>
    <row r="296" spans="1:2" ht="14.25" customHeight="1">
      <c r="A296" s="7">
        <v>22030038</v>
      </c>
      <c r="B296" s="8" t="s">
        <v>623</v>
      </c>
    </row>
    <row r="297" spans="1:2" ht="14.25" customHeight="1">
      <c r="A297" s="7">
        <v>22030039</v>
      </c>
      <c r="B297" s="8" t="s">
        <v>623</v>
      </c>
    </row>
    <row r="298" spans="1:2" ht="14.25" customHeight="1">
      <c r="A298" s="7">
        <v>22030040</v>
      </c>
      <c r="B298" s="8" t="s">
        <v>623</v>
      </c>
    </row>
    <row r="299" spans="1:2" ht="14.25" customHeight="1">
      <c r="A299" s="7">
        <v>22030041</v>
      </c>
      <c r="B299" s="8" t="s">
        <v>623</v>
      </c>
    </row>
    <row r="300" spans="1:2" ht="14.25" customHeight="1">
      <c r="A300" s="7">
        <v>22030042</v>
      </c>
      <c r="B300" s="8" t="s">
        <v>623</v>
      </c>
    </row>
    <row r="301" spans="1:2" ht="14.25" customHeight="1">
      <c r="A301" s="7">
        <v>22030049</v>
      </c>
      <c r="B301" s="8" t="s">
        <v>623</v>
      </c>
    </row>
    <row r="302" spans="1:2" ht="14.25" customHeight="1">
      <c r="A302" s="7">
        <v>22030050</v>
      </c>
      <c r="B302" s="8" t="s">
        <v>623</v>
      </c>
    </row>
    <row r="303" spans="1:2" ht="14.25" customHeight="1">
      <c r="A303" s="7">
        <v>22030051</v>
      </c>
      <c r="B303" s="8" t="s">
        <v>623</v>
      </c>
    </row>
    <row r="304" spans="1:2" ht="14.25" customHeight="1">
      <c r="A304" s="7">
        <v>22030052</v>
      </c>
      <c r="B304" s="8" t="s">
        <v>623</v>
      </c>
    </row>
    <row r="305" spans="1:2" ht="14.25" customHeight="1">
      <c r="A305" s="7">
        <v>22030053</v>
      </c>
      <c r="B305" s="8" t="s">
        <v>623</v>
      </c>
    </row>
    <row r="306" spans="1:2" ht="14.25" customHeight="1">
      <c r="A306" s="7">
        <v>32030050</v>
      </c>
      <c r="B306" s="8" t="s">
        <v>623</v>
      </c>
    </row>
    <row r="307" spans="1:2" ht="14.25" customHeight="1">
      <c r="A307" s="7">
        <v>32030070</v>
      </c>
      <c r="B307" s="8" t="s">
        <v>623</v>
      </c>
    </row>
    <row r="308" spans="1:2" ht="14.25" customHeight="1">
      <c r="A308" s="7">
        <v>22030010</v>
      </c>
      <c r="B308" s="8" t="s">
        <v>624</v>
      </c>
    </row>
    <row r="309" spans="1:2" ht="14.25" customHeight="1">
      <c r="A309" s="7">
        <v>32030054</v>
      </c>
      <c r="B309" s="8" t="s">
        <v>625</v>
      </c>
    </row>
    <row r="310" spans="1:2" ht="14.25" customHeight="1">
      <c r="A310" s="7">
        <v>22030120</v>
      </c>
      <c r="B310" s="8" t="s">
        <v>626</v>
      </c>
    </row>
    <row r="311" spans="1:2" ht="14.25" customHeight="1">
      <c r="A311" s="7">
        <v>22030132</v>
      </c>
      <c r="B311" s="8" t="s">
        <v>626</v>
      </c>
    </row>
    <row r="312" spans="1:2" ht="14.25" customHeight="1">
      <c r="A312" s="7">
        <v>15090045</v>
      </c>
      <c r="B312" s="8" t="s">
        <v>627</v>
      </c>
    </row>
    <row r="313" spans="1:2" ht="14.25" customHeight="1">
      <c r="A313" s="7">
        <v>45048082</v>
      </c>
      <c r="B313" s="8" t="s">
        <v>627</v>
      </c>
    </row>
    <row r="314" spans="1:2" ht="14.25" customHeight="1">
      <c r="A314" s="7">
        <v>1732376</v>
      </c>
      <c r="B314" s="8" t="s">
        <v>628</v>
      </c>
    </row>
    <row r="315" spans="1:2" ht="14.25" customHeight="1">
      <c r="A315" s="7">
        <v>1577293</v>
      </c>
      <c r="B315" s="8" t="s">
        <v>629</v>
      </c>
    </row>
    <row r="316" spans="1:2" ht="14.25" customHeight="1">
      <c r="A316" s="7">
        <v>1732270</v>
      </c>
      <c r="B316" s="8" t="s">
        <v>630</v>
      </c>
    </row>
    <row r="317" spans="1:2" ht="14.25" customHeight="1">
      <c r="A317" s="7">
        <v>32030048</v>
      </c>
      <c r="B317" s="8" t="s">
        <v>631</v>
      </c>
    </row>
    <row r="318" spans="1:2" ht="14.25" customHeight="1">
      <c r="A318" s="7">
        <v>1732628</v>
      </c>
      <c r="B318" s="8" t="s">
        <v>632</v>
      </c>
    </row>
    <row r="319" spans="1:2" ht="14.25" customHeight="1">
      <c r="A319" s="7">
        <v>22030136</v>
      </c>
      <c r="B319" s="8" t="s">
        <v>632</v>
      </c>
    </row>
    <row r="320" spans="1:2" ht="14.25" customHeight="1">
      <c r="A320" s="7">
        <v>22030187</v>
      </c>
      <c r="B320" s="8" t="s">
        <v>632</v>
      </c>
    </row>
    <row r="321" spans="1:2" ht="14.25" customHeight="1">
      <c r="A321" s="7">
        <v>38010006</v>
      </c>
      <c r="B321" s="8" t="s">
        <v>633</v>
      </c>
    </row>
    <row r="322" spans="1:2" ht="14.25" customHeight="1">
      <c r="A322" s="7">
        <v>38010010</v>
      </c>
      <c r="B322" s="8" t="s">
        <v>633</v>
      </c>
    </row>
    <row r="323" spans="1:2" ht="14.25" customHeight="1">
      <c r="A323" s="7">
        <v>1570015</v>
      </c>
      <c r="B323" s="8" t="s">
        <v>634</v>
      </c>
    </row>
    <row r="324" spans="1:2" ht="14.25" customHeight="1">
      <c r="A324" s="7">
        <v>900324</v>
      </c>
      <c r="B324" s="8" t="s">
        <v>635</v>
      </c>
    </row>
    <row r="325" spans="1:2" ht="14.25" customHeight="1">
      <c r="A325" s="7">
        <v>81521235</v>
      </c>
      <c r="B325" s="8" t="s">
        <v>636</v>
      </c>
    </row>
    <row r="326" spans="1:2" ht="14.25" customHeight="1">
      <c r="A326" s="7">
        <v>8173374</v>
      </c>
      <c r="B326" s="8" t="s">
        <v>637</v>
      </c>
    </row>
    <row r="327" spans="1:2" ht="14.25" customHeight="1">
      <c r="A327" s="7">
        <v>8173403</v>
      </c>
      <c r="B327" s="8" t="s">
        <v>637</v>
      </c>
    </row>
    <row r="328" spans="1:2" ht="14.25" customHeight="1">
      <c r="A328" s="7">
        <v>8173432</v>
      </c>
      <c r="B328" s="8" t="s">
        <v>637</v>
      </c>
    </row>
    <row r="329" spans="1:2" ht="14.25" customHeight="1">
      <c r="A329" s="7">
        <v>81521062</v>
      </c>
      <c r="B329" s="8" t="s">
        <v>637</v>
      </c>
    </row>
    <row r="330" spans="1:2" ht="14.25" customHeight="1">
      <c r="A330" s="7">
        <v>81521551</v>
      </c>
      <c r="B330" s="8" t="s">
        <v>638</v>
      </c>
    </row>
    <row r="331" spans="1:2" ht="14.25" customHeight="1">
      <c r="A331" s="7">
        <v>81521552</v>
      </c>
      <c r="B331" s="8" t="s">
        <v>638</v>
      </c>
    </row>
    <row r="332" spans="1:2" ht="14.25" customHeight="1">
      <c r="A332" s="7">
        <v>81521559</v>
      </c>
      <c r="B332" s="8" t="s">
        <v>638</v>
      </c>
    </row>
    <row r="333" spans="1:2" ht="14.25" customHeight="1">
      <c r="A333" s="7">
        <v>81521550</v>
      </c>
      <c r="B333" s="8" t="s">
        <v>410</v>
      </c>
    </row>
    <row r="334" spans="1:2" ht="14.25" customHeight="1">
      <c r="A334" s="7">
        <v>81521553</v>
      </c>
      <c r="B334" s="8" t="s">
        <v>410</v>
      </c>
    </row>
    <row r="335" spans="1:2" ht="14.25" customHeight="1">
      <c r="A335" s="7">
        <v>81521557</v>
      </c>
      <c r="B335" s="8" t="s">
        <v>410</v>
      </c>
    </row>
    <row r="336" spans="1:2" ht="14.25" customHeight="1">
      <c r="A336" s="7">
        <v>81521558</v>
      </c>
      <c r="B336" s="8" t="s">
        <v>410</v>
      </c>
    </row>
    <row r="337" spans="1:2" ht="14.25" customHeight="1">
      <c r="A337" s="7">
        <v>81521241</v>
      </c>
      <c r="B337" s="8" t="s">
        <v>639</v>
      </c>
    </row>
    <row r="338" spans="1:2" ht="14.25" customHeight="1">
      <c r="A338" s="7">
        <v>31020068</v>
      </c>
      <c r="B338" s="8" t="s">
        <v>640</v>
      </c>
    </row>
    <row r="339" spans="1:2" ht="14.25" customHeight="1">
      <c r="A339" s="7">
        <v>31020079</v>
      </c>
      <c r="B339" s="8" t="s">
        <v>641</v>
      </c>
    </row>
    <row r="340" spans="1:2" ht="14.25" customHeight="1">
      <c r="A340" s="7">
        <v>31020083</v>
      </c>
      <c r="B340" s="8" t="s">
        <v>642</v>
      </c>
    </row>
    <row r="341" spans="1:2" ht="14.25" customHeight="1">
      <c r="A341" s="7">
        <v>31020078</v>
      </c>
      <c r="B341" s="8" t="s">
        <v>643</v>
      </c>
    </row>
    <row r="342" spans="1:2" ht="14.25" customHeight="1">
      <c r="A342" s="7">
        <v>31020081</v>
      </c>
      <c r="B342" s="8" t="s">
        <v>643</v>
      </c>
    </row>
    <row r="343" spans="1:2" ht="14.25" customHeight="1">
      <c r="A343" s="7">
        <v>6173031</v>
      </c>
      <c r="B343" s="8" t="s">
        <v>644</v>
      </c>
    </row>
    <row r="344" spans="1:2" ht="14.25" customHeight="1">
      <c r="A344" s="7">
        <v>6173032</v>
      </c>
      <c r="B344" s="8" t="s">
        <v>644</v>
      </c>
    </row>
    <row r="345" spans="1:2" ht="14.25" customHeight="1">
      <c r="A345" s="7">
        <v>6173035</v>
      </c>
      <c r="B345" s="8" t="s">
        <v>644</v>
      </c>
    </row>
    <row r="346" spans="1:2" ht="14.25" customHeight="1">
      <c r="A346" s="7">
        <v>31160003</v>
      </c>
      <c r="B346" s="8" t="s">
        <v>645</v>
      </c>
    </row>
    <row r="347" spans="1:2" ht="14.25" customHeight="1">
      <c r="A347" s="7">
        <v>6173059</v>
      </c>
      <c r="B347" s="8" t="s">
        <v>646</v>
      </c>
    </row>
    <row r="348" spans="1:2" ht="14.25" customHeight="1">
      <c r="A348" s="7">
        <v>6173061</v>
      </c>
      <c r="B348" s="8" t="s">
        <v>646</v>
      </c>
    </row>
    <row r="349" spans="1:2" ht="14.25" customHeight="1">
      <c r="A349" s="7">
        <v>6173063</v>
      </c>
      <c r="B349" s="8" t="s">
        <v>646</v>
      </c>
    </row>
    <row r="350" spans="1:2" ht="14.25" customHeight="1">
      <c r="A350" s="7">
        <v>61521076</v>
      </c>
      <c r="B350" s="8" t="s">
        <v>647</v>
      </c>
    </row>
    <row r="351" spans="1:2" ht="14.25" customHeight="1">
      <c r="A351" s="7">
        <v>61521052</v>
      </c>
      <c r="B351" s="8" t="s">
        <v>648</v>
      </c>
    </row>
    <row r="352" spans="1:2" ht="14.25" customHeight="1">
      <c r="A352" s="7">
        <v>61521053</v>
      </c>
      <c r="B352" s="8" t="s">
        <v>648</v>
      </c>
    </row>
    <row r="353" spans="1:2" ht="14.25" customHeight="1">
      <c r="A353" s="7">
        <v>61521054</v>
      </c>
      <c r="B353" s="8" t="s">
        <v>648</v>
      </c>
    </row>
    <row r="354" spans="1:2" ht="14.25" customHeight="1">
      <c r="A354" s="7">
        <v>61521059</v>
      </c>
      <c r="B354" s="8" t="s">
        <v>649</v>
      </c>
    </row>
    <row r="355" spans="1:2" ht="14.25" customHeight="1">
      <c r="A355" s="7">
        <v>4152005</v>
      </c>
      <c r="B355" s="8" t="s">
        <v>650</v>
      </c>
    </row>
    <row r="356" spans="1:2" ht="14.25" customHeight="1">
      <c r="A356" s="7">
        <v>6173047</v>
      </c>
      <c r="B356" s="8" t="s">
        <v>651</v>
      </c>
    </row>
    <row r="357" spans="1:2" ht="14.25" customHeight="1">
      <c r="A357" s="7">
        <v>61521040</v>
      </c>
      <c r="B357" s="8" t="s">
        <v>651</v>
      </c>
    </row>
    <row r="358" spans="1:2" ht="14.25" customHeight="1">
      <c r="A358" s="7">
        <v>61521011</v>
      </c>
      <c r="B358" s="8" t="s">
        <v>652</v>
      </c>
    </row>
    <row r="359" spans="1:2" ht="14.25" customHeight="1">
      <c r="A359" s="7">
        <v>61521012</v>
      </c>
      <c r="B359" s="8" t="s">
        <v>652</v>
      </c>
    </row>
    <row r="360" spans="1:2" ht="14.25" customHeight="1">
      <c r="A360" s="7">
        <v>61521083</v>
      </c>
      <c r="B360" s="8" t="s">
        <v>653</v>
      </c>
    </row>
    <row r="361" spans="1:2" ht="14.25" customHeight="1">
      <c r="A361" s="7">
        <v>61521039</v>
      </c>
      <c r="B361" s="8" t="s">
        <v>654</v>
      </c>
    </row>
    <row r="362" spans="1:2" ht="14.25" customHeight="1">
      <c r="A362" s="7">
        <v>6173008</v>
      </c>
      <c r="B362" s="8" t="s">
        <v>655</v>
      </c>
    </row>
    <row r="363" spans="1:2" ht="14.25" customHeight="1">
      <c r="A363" s="7">
        <v>31100003</v>
      </c>
      <c r="B363" s="8" t="s">
        <v>656</v>
      </c>
    </row>
    <row r="364" spans="1:2" ht="14.25" customHeight="1">
      <c r="A364" s="7">
        <v>61521068</v>
      </c>
      <c r="B364" s="8" t="s">
        <v>657</v>
      </c>
    </row>
    <row r="365" spans="1:2" ht="14.25" customHeight="1">
      <c r="A365" s="7">
        <v>61521077</v>
      </c>
      <c r="B365" s="8" t="s">
        <v>657</v>
      </c>
    </row>
    <row r="366" spans="1:2" ht="14.25" customHeight="1">
      <c r="A366" s="7">
        <v>61521079</v>
      </c>
      <c r="B366" s="8" t="s">
        <v>657</v>
      </c>
    </row>
    <row r="367" spans="1:2" ht="14.25" customHeight="1">
      <c r="A367" s="7">
        <v>61521038</v>
      </c>
      <c r="B367" s="8" t="s">
        <v>658</v>
      </c>
    </row>
    <row r="368" spans="1:2" ht="14.25" customHeight="1">
      <c r="A368" s="7">
        <v>6173013</v>
      </c>
      <c r="B368" s="8" t="s">
        <v>659</v>
      </c>
    </row>
    <row r="369" spans="1:2" ht="14.25" customHeight="1">
      <c r="A369" s="7">
        <v>61521063</v>
      </c>
      <c r="B369" s="8" t="s">
        <v>660</v>
      </c>
    </row>
    <row r="370" spans="1:2" ht="14.25" customHeight="1">
      <c r="A370" s="7">
        <v>61521064</v>
      </c>
      <c r="B370" s="8" t="s">
        <v>660</v>
      </c>
    </row>
    <row r="371" spans="1:2" ht="14.25" customHeight="1">
      <c r="A371" s="7">
        <v>61521065</v>
      </c>
      <c r="B371" s="8" t="s">
        <v>660</v>
      </c>
    </row>
    <row r="372" spans="1:2" ht="14.25" customHeight="1">
      <c r="A372" s="7">
        <v>61521066</v>
      </c>
      <c r="B372" s="8" t="s">
        <v>660</v>
      </c>
    </row>
    <row r="373" spans="1:2" ht="14.25" customHeight="1">
      <c r="A373" s="7">
        <v>61521067</v>
      </c>
      <c r="B373" s="8" t="s">
        <v>660</v>
      </c>
    </row>
    <row r="374" spans="1:2" ht="14.25" customHeight="1">
      <c r="A374" s="7">
        <v>61521101</v>
      </c>
      <c r="B374" s="8" t="s">
        <v>660</v>
      </c>
    </row>
    <row r="375" spans="1:2" ht="14.25" customHeight="1">
      <c r="A375" s="7">
        <v>31020077</v>
      </c>
      <c r="B375" s="8" t="s">
        <v>661</v>
      </c>
    </row>
    <row r="376" spans="1:2" ht="14.25" customHeight="1">
      <c r="A376" s="7">
        <v>31220005</v>
      </c>
      <c r="B376" s="8" t="s">
        <v>661</v>
      </c>
    </row>
    <row r="377" spans="1:2" ht="14.25" customHeight="1">
      <c r="A377" s="7">
        <v>6173012</v>
      </c>
      <c r="B377" s="8" t="s">
        <v>662</v>
      </c>
    </row>
    <row r="378" spans="1:2" ht="14.25" customHeight="1">
      <c r="A378" s="7">
        <v>1732236</v>
      </c>
      <c r="B378" s="8" t="s">
        <v>663</v>
      </c>
    </row>
    <row r="379" spans="1:2" ht="14.25" customHeight="1">
      <c r="A379" s="7">
        <v>6173005</v>
      </c>
      <c r="B379" s="8" t="s">
        <v>664</v>
      </c>
    </row>
    <row r="380" spans="1:2" ht="14.25" customHeight="1">
      <c r="A380" s="7">
        <v>17320831</v>
      </c>
      <c r="B380" s="8" t="s">
        <v>665</v>
      </c>
    </row>
    <row r="381" spans="1:2" ht="14.25" customHeight="1">
      <c r="A381" s="7">
        <v>17320814</v>
      </c>
      <c r="B381" s="8" t="s">
        <v>666</v>
      </c>
    </row>
    <row r="382" spans="1:2" ht="14.25" customHeight="1">
      <c r="A382" s="7">
        <v>17320819</v>
      </c>
      <c r="B382" s="8" t="s">
        <v>667</v>
      </c>
    </row>
    <row r="383" spans="1:2" ht="14.25" customHeight="1">
      <c r="A383" s="7">
        <v>91522232</v>
      </c>
      <c r="B383" s="8" t="s">
        <v>668</v>
      </c>
    </row>
    <row r="384" spans="1:2" ht="14.25" customHeight="1">
      <c r="A384" s="7">
        <v>1732280</v>
      </c>
      <c r="B384" s="8" t="s">
        <v>669</v>
      </c>
    </row>
    <row r="385" spans="1:2" ht="14.25" customHeight="1">
      <c r="A385" s="7">
        <v>1732296</v>
      </c>
      <c r="B385" s="8" t="s">
        <v>669</v>
      </c>
    </row>
    <row r="386" spans="1:2" ht="14.25" customHeight="1">
      <c r="A386" s="7">
        <v>1732303</v>
      </c>
      <c r="B386" s="8" t="s">
        <v>670</v>
      </c>
    </row>
    <row r="387" spans="1:2" ht="14.25" customHeight="1">
      <c r="A387" s="7">
        <v>1732288</v>
      </c>
      <c r="B387" s="8" t="s">
        <v>671</v>
      </c>
    </row>
    <row r="388" spans="1:2" ht="14.25" customHeight="1">
      <c r="A388" s="7">
        <v>1732283</v>
      </c>
      <c r="B388" s="8" t="s">
        <v>672</v>
      </c>
    </row>
    <row r="389" spans="1:2" ht="14.25" customHeight="1">
      <c r="A389" s="7">
        <v>1732292</v>
      </c>
      <c r="B389" s="8" t="s">
        <v>672</v>
      </c>
    </row>
    <row r="390" spans="1:2" ht="14.25" customHeight="1">
      <c r="A390" s="7">
        <v>1732304</v>
      </c>
      <c r="B390" s="8" t="s">
        <v>672</v>
      </c>
    </row>
    <row r="391" spans="1:2" ht="14.25" customHeight="1">
      <c r="A391" s="7">
        <v>1731667</v>
      </c>
      <c r="B391" s="8" t="s">
        <v>673</v>
      </c>
    </row>
    <row r="392" spans="1:2" ht="14.25" customHeight="1">
      <c r="A392" s="7">
        <v>1732167</v>
      </c>
      <c r="B392" s="8" t="s">
        <v>674</v>
      </c>
    </row>
    <row r="393" spans="1:2" ht="14.25" customHeight="1">
      <c r="A393" s="7">
        <v>1731516</v>
      </c>
      <c r="B393" s="8" t="s">
        <v>675</v>
      </c>
    </row>
    <row r="394" spans="1:2" ht="14.25" customHeight="1">
      <c r="A394" s="7">
        <v>1732255</v>
      </c>
      <c r="B394" s="8" t="s">
        <v>676</v>
      </c>
    </row>
    <row r="395" spans="1:2" ht="14.25" customHeight="1">
      <c r="A395" s="7">
        <v>6173009</v>
      </c>
      <c r="B395" s="8" t="s">
        <v>677</v>
      </c>
    </row>
    <row r="396" spans="1:2" ht="14.25" customHeight="1">
      <c r="A396" s="7">
        <v>1732300</v>
      </c>
      <c r="B396" s="8" t="s">
        <v>678</v>
      </c>
    </row>
    <row r="397" spans="1:2" ht="14.25" customHeight="1">
      <c r="A397" s="7">
        <v>1732207</v>
      </c>
      <c r="B397" s="8" t="s">
        <v>679</v>
      </c>
    </row>
    <row r="398" spans="1:2" ht="14.25" customHeight="1">
      <c r="A398" s="7">
        <v>1732443</v>
      </c>
      <c r="B398" s="8" t="s">
        <v>680</v>
      </c>
    </row>
    <row r="399" spans="1:2" ht="14.25" customHeight="1">
      <c r="A399" s="7">
        <v>17320840</v>
      </c>
      <c r="B399" s="8" t="s">
        <v>681</v>
      </c>
    </row>
    <row r="400" spans="1:2" ht="14.25" customHeight="1">
      <c r="A400" s="7">
        <v>1732461</v>
      </c>
      <c r="B400" s="8" t="s">
        <v>682</v>
      </c>
    </row>
    <row r="401" spans="1:2" ht="14.25" customHeight="1">
      <c r="A401" s="7">
        <v>90189011</v>
      </c>
      <c r="B401" s="8" t="s">
        <v>683</v>
      </c>
    </row>
    <row r="402" spans="1:2" ht="14.25" customHeight="1">
      <c r="A402" s="7">
        <v>90189015</v>
      </c>
      <c r="B402" s="8" t="s">
        <v>683</v>
      </c>
    </row>
    <row r="403" spans="1:2" ht="14.25" customHeight="1">
      <c r="A403" s="7">
        <v>90189028</v>
      </c>
      <c r="B403" s="8" t="s">
        <v>683</v>
      </c>
    </row>
    <row r="404" spans="1:2" ht="14.25" customHeight="1">
      <c r="A404" s="7">
        <v>90189043</v>
      </c>
      <c r="B404" s="8" t="s">
        <v>683</v>
      </c>
    </row>
    <row r="405" spans="1:2" ht="14.25" customHeight="1">
      <c r="A405" s="7">
        <v>90189053</v>
      </c>
      <c r="B405" s="8" t="s">
        <v>683</v>
      </c>
    </row>
    <row r="406" spans="1:2" ht="14.25" customHeight="1">
      <c r="A406" s="7">
        <v>90189056</v>
      </c>
      <c r="B406" s="8" t="s">
        <v>683</v>
      </c>
    </row>
    <row r="407" spans="1:2" ht="14.25" customHeight="1">
      <c r="A407" s="7">
        <v>90189108</v>
      </c>
      <c r="B407" s="8" t="s">
        <v>683</v>
      </c>
    </row>
    <row r="408" spans="1:2" ht="14.25" customHeight="1">
      <c r="A408" s="7">
        <v>90189113</v>
      </c>
      <c r="B408" s="8" t="s">
        <v>683</v>
      </c>
    </row>
    <row r="409" spans="1:2" ht="14.25" customHeight="1">
      <c r="A409" s="7">
        <v>90189116</v>
      </c>
      <c r="B409" s="8" t="s">
        <v>683</v>
      </c>
    </row>
    <row r="410" spans="1:2" ht="14.25" customHeight="1">
      <c r="A410" s="7">
        <v>90189123</v>
      </c>
      <c r="B410" s="8" t="s">
        <v>683</v>
      </c>
    </row>
    <row r="411" spans="1:2" ht="14.25" customHeight="1">
      <c r="A411" s="7">
        <v>90189127</v>
      </c>
      <c r="B411" s="8" t="s">
        <v>683</v>
      </c>
    </row>
    <row r="412" spans="1:2" ht="14.25" customHeight="1">
      <c r="A412" s="7">
        <v>90189128</v>
      </c>
      <c r="B412" s="8" t="s">
        <v>683</v>
      </c>
    </row>
    <row r="413" spans="1:2" ht="14.25" customHeight="1">
      <c r="A413" s="7">
        <v>90189133</v>
      </c>
      <c r="B413" s="8" t="s">
        <v>683</v>
      </c>
    </row>
    <row r="414" spans="1:2" ht="14.25" customHeight="1">
      <c r="A414" s="7">
        <v>90189137</v>
      </c>
      <c r="B414" s="8" t="s">
        <v>683</v>
      </c>
    </row>
    <row r="415" spans="1:2" ht="14.25" customHeight="1">
      <c r="A415" s="7">
        <v>90189139</v>
      </c>
      <c r="B415" s="8" t="s">
        <v>683</v>
      </c>
    </row>
    <row r="416" spans="1:2" ht="14.25" customHeight="1">
      <c r="A416" s="7">
        <v>90189142</v>
      </c>
      <c r="B416" s="8" t="s">
        <v>683</v>
      </c>
    </row>
    <row r="417" spans="1:2" ht="14.25" customHeight="1">
      <c r="A417" s="7">
        <v>90189145</v>
      </c>
      <c r="B417" s="8" t="s">
        <v>683</v>
      </c>
    </row>
    <row r="418" spans="1:2" ht="14.25" customHeight="1">
      <c r="A418" s="7">
        <v>90189154</v>
      </c>
      <c r="B418" s="8" t="s">
        <v>683</v>
      </c>
    </row>
    <row r="419" spans="1:2" ht="14.25" customHeight="1">
      <c r="A419" s="7">
        <v>90189164</v>
      </c>
      <c r="B419" s="8" t="s">
        <v>683</v>
      </c>
    </row>
    <row r="420" spans="1:2" ht="14.25" customHeight="1">
      <c r="A420" s="7">
        <v>90189166</v>
      </c>
      <c r="B420" s="8" t="s">
        <v>683</v>
      </c>
    </row>
    <row r="421" spans="1:2" ht="14.25" customHeight="1">
      <c r="A421" s="7">
        <v>90189175</v>
      </c>
      <c r="B421" s="8" t="s">
        <v>683</v>
      </c>
    </row>
    <row r="422" spans="1:2" ht="14.25" customHeight="1">
      <c r="A422" s="7">
        <v>90189176</v>
      </c>
      <c r="B422" s="8" t="s">
        <v>683</v>
      </c>
    </row>
    <row r="423" spans="1:2" ht="14.25" customHeight="1">
      <c r="A423" s="7">
        <v>90189177</v>
      </c>
      <c r="B423" s="8" t="s">
        <v>683</v>
      </c>
    </row>
    <row r="424" spans="1:2" ht="14.25" customHeight="1">
      <c r="A424" s="7">
        <v>90189188</v>
      </c>
      <c r="B424" s="8" t="s">
        <v>683</v>
      </c>
    </row>
    <row r="425" spans="1:2" ht="14.25" customHeight="1">
      <c r="A425" s="7">
        <v>90189191</v>
      </c>
      <c r="B425" s="8" t="s">
        <v>683</v>
      </c>
    </row>
    <row r="426" spans="1:2" ht="14.25" customHeight="1">
      <c r="A426" s="7">
        <v>90189192</v>
      </c>
      <c r="B426" s="8" t="s">
        <v>683</v>
      </c>
    </row>
    <row r="427" spans="1:2" ht="14.25" customHeight="1">
      <c r="A427" s="7">
        <v>90189193</v>
      </c>
      <c r="B427" s="8" t="s">
        <v>683</v>
      </c>
    </row>
    <row r="428" spans="1:2" ht="14.25" customHeight="1">
      <c r="A428" s="7">
        <v>90189203</v>
      </c>
      <c r="B428" s="8" t="s">
        <v>683</v>
      </c>
    </row>
    <row r="429" spans="1:2" ht="14.25" customHeight="1">
      <c r="A429" s="7">
        <v>90189205</v>
      </c>
      <c r="B429" s="8" t="s">
        <v>683</v>
      </c>
    </row>
    <row r="430" spans="1:2" ht="14.25" customHeight="1">
      <c r="A430" s="7">
        <v>90189207</v>
      </c>
      <c r="B430" s="8" t="s">
        <v>683</v>
      </c>
    </row>
    <row r="431" spans="1:2" ht="14.25" customHeight="1">
      <c r="A431" s="7">
        <v>90189211</v>
      </c>
      <c r="B431" s="8" t="s">
        <v>683</v>
      </c>
    </row>
    <row r="432" spans="1:2" ht="14.25" customHeight="1">
      <c r="A432" s="7">
        <v>90189212</v>
      </c>
      <c r="B432" s="8" t="s">
        <v>683</v>
      </c>
    </row>
    <row r="433" spans="1:2" ht="14.25" customHeight="1">
      <c r="A433" s="7">
        <v>90189213</v>
      </c>
      <c r="B433" s="8" t="s">
        <v>683</v>
      </c>
    </row>
    <row r="434" spans="1:2" ht="14.25" customHeight="1">
      <c r="A434" s="7">
        <v>90189237</v>
      </c>
      <c r="B434" s="8" t="s">
        <v>683</v>
      </c>
    </row>
    <row r="435" spans="1:2" ht="14.25" customHeight="1">
      <c r="A435" s="7">
        <v>90189265</v>
      </c>
      <c r="B435" s="8" t="s">
        <v>683</v>
      </c>
    </row>
    <row r="436" spans="1:2" ht="14.25" customHeight="1">
      <c r="A436" s="7">
        <v>90189616</v>
      </c>
      <c r="B436" s="8" t="s">
        <v>684</v>
      </c>
    </row>
    <row r="437" spans="1:2" ht="14.25" customHeight="1">
      <c r="A437" s="7">
        <v>1732347</v>
      </c>
      <c r="B437" s="8" t="s">
        <v>685</v>
      </c>
    </row>
    <row r="438" spans="1:2" ht="14.25" customHeight="1">
      <c r="A438" s="7">
        <v>1732301</v>
      </c>
      <c r="B438" s="8" t="s">
        <v>686</v>
      </c>
    </row>
    <row r="439" spans="1:2" ht="14.25" customHeight="1">
      <c r="A439" s="7">
        <v>1732302</v>
      </c>
      <c r="B439" s="8" t="s">
        <v>686</v>
      </c>
    </row>
    <row r="440" spans="1:2" ht="14.25" customHeight="1">
      <c r="A440" s="7">
        <v>1732277</v>
      </c>
      <c r="B440" s="8" t="s">
        <v>687</v>
      </c>
    </row>
    <row r="441" spans="1:2" ht="14.25" customHeight="1">
      <c r="A441" s="7">
        <v>1731980</v>
      </c>
      <c r="B441" s="8" t="s">
        <v>688</v>
      </c>
    </row>
    <row r="442" spans="1:2" ht="14.25" customHeight="1">
      <c r="A442" s="7">
        <v>1731789</v>
      </c>
      <c r="B442" s="8" t="s">
        <v>689</v>
      </c>
    </row>
    <row r="443" spans="1:2" ht="14.25" customHeight="1">
      <c r="A443" s="7">
        <v>1732464</v>
      </c>
      <c r="B443" s="8" t="s">
        <v>690</v>
      </c>
    </row>
    <row r="444" spans="1:2" ht="14.25" customHeight="1">
      <c r="A444" s="7">
        <v>61524051</v>
      </c>
      <c r="B444" s="8" t="s">
        <v>691</v>
      </c>
    </row>
    <row r="445" spans="1:2" ht="14.25" customHeight="1">
      <c r="A445" s="7">
        <v>1732235</v>
      </c>
      <c r="B445" s="8" t="s">
        <v>692</v>
      </c>
    </row>
    <row r="446" spans="1:2" ht="14.25" customHeight="1">
      <c r="A446" s="7">
        <v>1732240</v>
      </c>
      <c r="B446" s="8" t="s">
        <v>693</v>
      </c>
    </row>
    <row r="447" spans="1:2" ht="14.25" customHeight="1">
      <c r="A447" s="7">
        <v>1732216</v>
      </c>
      <c r="B447" s="8" t="s">
        <v>694</v>
      </c>
    </row>
    <row r="448" spans="1:2" ht="14.25" customHeight="1">
      <c r="A448" s="7">
        <v>1731860</v>
      </c>
      <c r="B448" s="8" t="s">
        <v>695</v>
      </c>
    </row>
    <row r="449" spans="1:2" ht="14.25" customHeight="1">
      <c r="A449" s="7">
        <v>32010007</v>
      </c>
      <c r="B449" s="8" t="s">
        <v>696</v>
      </c>
    </row>
    <row r="450" spans="1:2" ht="14.25" customHeight="1">
      <c r="A450" s="7">
        <v>32010002</v>
      </c>
      <c r="B450" s="8" t="s">
        <v>697</v>
      </c>
    </row>
    <row r="451" spans="1:2" ht="14.25" customHeight="1">
      <c r="A451" s="7">
        <v>1732260</v>
      </c>
      <c r="B451" s="8" t="s">
        <v>698</v>
      </c>
    </row>
    <row r="452" spans="1:2" ht="14.25" customHeight="1">
      <c r="A452" s="7">
        <v>32010006</v>
      </c>
      <c r="B452" s="8" t="s">
        <v>699</v>
      </c>
    </row>
    <row r="453" spans="1:2" ht="14.25" customHeight="1">
      <c r="A453" s="7">
        <v>41521046</v>
      </c>
      <c r="B453" s="8" t="s">
        <v>700</v>
      </c>
    </row>
    <row r="454" spans="1:2" ht="14.25" customHeight="1">
      <c r="A454" s="7">
        <v>41521057</v>
      </c>
      <c r="B454" s="8" t="s">
        <v>700</v>
      </c>
    </row>
    <row r="455" spans="1:2" ht="14.25" customHeight="1">
      <c r="A455" s="7">
        <v>12010003</v>
      </c>
      <c r="B455" s="8" t="s">
        <v>701</v>
      </c>
    </row>
    <row r="456" spans="1:2" ht="14.25" customHeight="1">
      <c r="A456" s="7">
        <v>12010004</v>
      </c>
      <c r="B456" s="8" t="s">
        <v>701</v>
      </c>
    </row>
    <row r="457" spans="1:2" ht="14.25" customHeight="1">
      <c r="A457" s="7">
        <v>41521073</v>
      </c>
      <c r="B457" s="8" t="s">
        <v>702</v>
      </c>
    </row>
    <row r="458" spans="1:2" ht="14.25" customHeight="1">
      <c r="A458" s="7">
        <v>32010003</v>
      </c>
      <c r="B458" s="8" t="s">
        <v>703</v>
      </c>
    </row>
    <row r="459" spans="1:2" ht="14.25" customHeight="1">
      <c r="A459" s="7">
        <v>41521060</v>
      </c>
      <c r="B459" s="8" t="s">
        <v>703</v>
      </c>
    </row>
    <row r="460" spans="1:2" ht="14.25" customHeight="1">
      <c r="A460" s="7">
        <v>41521063</v>
      </c>
      <c r="B460" s="8" t="s">
        <v>703</v>
      </c>
    </row>
    <row r="461" spans="1:2" ht="14.25" customHeight="1">
      <c r="A461" s="7">
        <v>32010011</v>
      </c>
      <c r="B461" s="8" t="s">
        <v>704</v>
      </c>
    </row>
    <row r="462" spans="1:2" ht="14.25" customHeight="1">
      <c r="A462" s="7">
        <v>1731948</v>
      </c>
      <c r="B462" s="8" t="s">
        <v>705</v>
      </c>
    </row>
    <row r="463" spans="1:2" ht="14.25" customHeight="1">
      <c r="A463" s="7">
        <v>16130001</v>
      </c>
      <c r="B463" s="8" t="s">
        <v>706</v>
      </c>
    </row>
    <row r="464" spans="1:2" ht="14.25" customHeight="1">
      <c r="A464" s="7">
        <v>7157334</v>
      </c>
      <c r="B464" s="8" t="s">
        <v>707</v>
      </c>
    </row>
    <row r="465" spans="1:2" ht="14.25" customHeight="1">
      <c r="A465" s="7">
        <v>8173632</v>
      </c>
      <c r="B465" s="8" t="s">
        <v>708</v>
      </c>
    </row>
    <row r="466" spans="1:2" ht="14.25" customHeight="1">
      <c r="A466" s="7">
        <v>81521120</v>
      </c>
      <c r="B466" s="8" t="s">
        <v>708</v>
      </c>
    </row>
    <row r="467" spans="1:2" ht="14.25" customHeight="1">
      <c r="A467" s="7">
        <v>81521289</v>
      </c>
      <c r="B467" s="8" t="s">
        <v>708</v>
      </c>
    </row>
    <row r="468" spans="1:2" ht="14.25" customHeight="1">
      <c r="A468" s="7">
        <v>81521071</v>
      </c>
      <c r="B468" s="8" t="s">
        <v>709</v>
      </c>
    </row>
    <row r="469" spans="1:2" ht="14.25" customHeight="1">
      <c r="A469" s="7">
        <v>81521086</v>
      </c>
      <c r="B469" s="8" t="s">
        <v>709</v>
      </c>
    </row>
    <row r="470" spans="1:2" ht="14.25" customHeight="1">
      <c r="A470" s="7">
        <v>81522001</v>
      </c>
      <c r="B470" s="8" t="s">
        <v>710</v>
      </c>
    </row>
    <row r="471" spans="1:2" ht="14.25" customHeight="1">
      <c r="A471" s="7">
        <v>7157157</v>
      </c>
      <c r="B471" s="8" t="s">
        <v>402</v>
      </c>
    </row>
    <row r="472" spans="1:2" ht="14.25" customHeight="1">
      <c r="A472" s="7">
        <v>7157332</v>
      </c>
      <c r="B472" s="8" t="s">
        <v>402</v>
      </c>
    </row>
    <row r="473" spans="1:2" ht="14.25" customHeight="1">
      <c r="A473" s="7">
        <v>7157335</v>
      </c>
      <c r="B473" s="8" t="s">
        <v>402</v>
      </c>
    </row>
    <row r="474" spans="1:2" ht="14.25" customHeight="1">
      <c r="A474" s="7">
        <v>7157346</v>
      </c>
      <c r="B474" s="8" t="s">
        <v>402</v>
      </c>
    </row>
    <row r="475" spans="1:2" ht="14.25" customHeight="1">
      <c r="A475" s="7">
        <v>7157348</v>
      </c>
      <c r="B475" s="8" t="s">
        <v>402</v>
      </c>
    </row>
    <row r="476" spans="1:2" ht="14.25" customHeight="1">
      <c r="A476" s="7">
        <v>7157351</v>
      </c>
      <c r="B476" s="8" t="s">
        <v>402</v>
      </c>
    </row>
    <row r="477" spans="1:2" ht="14.25" customHeight="1">
      <c r="A477" s="7">
        <v>7157353</v>
      </c>
      <c r="B477" s="8" t="s">
        <v>402</v>
      </c>
    </row>
    <row r="478" spans="1:2" ht="14.25" customHeight="1">
      <c r="A478" s="7">
        <v>7157358</v>
      </c>
      <c r="B478" s="8" t="s">
        <v>402</v>
      </c>
    </row>
    <row r="479" spans="1:2" ht="14.25" customHeight="1">
      <c r="A479" s="7">
        <v>8173087</v>
      </c>
      <c r="B479" s="8" t="s">
        <v>402</v>
      </c>
    </row>
    <row r="480" spans="1:2" ht="14.25" customHeight="1">
      <c r="A480" s="7">
        <v>8152008</v>
      </c>
      <c r="B480" s="8" t="s">
        <v>711</v>
      </c>
    </row>
    <row r="481" spans="1:2" ht="14.25" customHeight="1">
      <c r="A481" s="7">
        <v>8173494</v>
      </c>
      <c r="B481" s="8" t="s">
        <v>711</v>
      </c>
    </row>
    <row r="482" spans="1:2" ht="14.25" customHeight="1">
      <c r="A482" s="7">
        <v>8173535</v>
      </c>
      <c r="B482" s="8" t="s">
        <v>711</v>
      </c>
    </row>
    <row r="483" spans="1:2" ht="14.25" customHeight="1">
      <c r="A483" s="7">
        <v>8173567</v>
      </c>
      <c r="B483" s="8" t="s">
        <v>711</v>
      </c>
    </row>
    <row r="484" spans="1:2" ht="14.25" customHeight="1">
      <c r="A484" s="7">
        <v>81521117</v>
      </c>
      <c r="B484" s="8" t="s">
        <v>711</v>
      </c>
    </row>
    <row r="485" spans="1:2" ht="14.25" customHeight="1">
      <c r="A485" s="7">
        <v>81521119</v>
      </c>
      <c r="B485" s="8" t="s">
        <v>711</v>
      </c>
    </row>
    <row r="486" spans="1:2" ht="14.25" customHeight="1">
      <c r="A486" s="7">
        <v>81521200</v>
      </c>
      <c r="B486" s="8" t="s">
        <v>711</v>
      </c>
    </row>
    <row r="487" spans="1:2" ht="14.25" customHeight="1">
      <c r="A487" s="7">
        <v>81521201</v>
      </c>
      <c r="B487" s="8" t="s">
        <v>711</v>
      </c>
    </row>
    <row r="488" spans="1:2" ht="14.25" customHeight="1">
      <c r="A488" s="7">
        <v>81521202</v>
      </c>
      <c r="B488" s="8" t="s">
        <v>711</v>
      </c>
    </row>
    <row r="489" spans="1:2" ht="14.25" customHeight="1">
      <c r="A489" s="7">
        <v>81521203</v>
      </c>
      <c r="B489" s="8" t="s">
        <v>711</v>
      </c>
    </row>
    <row r="490" spans="1:2" ht="14.25" customHeight="1">
      <c r="A490" s="7">
        <v>81521319</v>
      </c>
      <c r="B490" s="8" t="s">
        <v>711</v>
      </c>
    </row>
    <row r="491" spans="1:2" ht="14.25" customHeight="1">
      <c r="A491" s="7">
        <v>81521482</v>
      </c>
      <c r="B491" s="8" t="s">
        <v>711</v>
      </c>
    </row>
    <row r="492" spans="1:2" ht="14.25" customHeight="1">
      <c r="A492" s="7">
        <v>81521483</v>
      </c>
      <c r="B492" s="8" t="s">
        <v>711</v>
      </c>
    </row>
    <row r="493" spans="1:2" ht="14.25" customHeight="1">
      <c r="A493" s="7">
        <v>81521484</v>
      </c>
      <c r="B493" s="8" t="s">
        <v>711</v>
      </c>
    </row>
    <row r="494" spans="1:2" ht="14.25" customHeight="1">
      <c r="A494" s="7">
        <v>81521540</v>
      </c>
      <c r="B494" s="8" t="s">
        <v>711</v>
      </c>
    </row>
    <row r="495" spans="1:2" ht="14.25" customHeight="1">
      <c r="A495" s="7">
        <v>81521541</v>
      </c>
      <c r="B495" s="8" t="s">
        <v>711</v>
      </c>
    </row>
    <row r="496" spans="1:2" ht="14.25" customHeight="1">
      <c r="A496" s="7">
        <v>81521496</v>
      </c>
      <c r="B496" s="8" t="s">
        <v>712</v>
      </c>
    </row>
    <row r="497" spans="1:2" ht="14.25" customHeight="1">
      <c r="A497" s="7">
        <v>81521495</v>
      </c>
      <c r="B497" s="8" t="s">
        <v>713</v>
      </c>
    </row>
    <row r="498" spans="1:2" ht="14.25" customHeight="1">
      <c r="A498" s="7">
        <v>8173294</v>
      </c>
      <c r="B498" s="8" t="s">
        <v>714</v>
      </c>
    </row>
    <row r="499" spans="1:2" ht="14.25" customHeight="1">
      <c r="A499" s="7">
        <v>8173306</v>
      </c>
      <c r="B499" s="8" t="s">
        <v>714</v>
      </c>
    </row>
    <row r="500" spans="1:2" ht="14.25" customHeight="1">
      <c r="A500" s="7">
        <v>8173312</v>
      </c>
      <c r="B500" s="8" t="s">
        <v>714</v>
      </c>
    </row>
    <row r="501" spans="1:2" ht="14.25" customHeight="1">
      <c r="A501" s="7">
        <v>8173313</v>
      </c>
      <c r="B501" s="8" t="s">
        <v>714</v>
      </c>
    </row>
    <row r="502" spans="1:2" ht="14.25" customHeight="1">
      <c r="A502" s="7">
        <v>8173314</v>
      </c>
      <c r="B502" s="8" t="s">
        <v>714</v>
      </c>
    </row>
    <row r="503" spans="1:2" ht="14.25" customHeight="1">
      <c r="A503" s="7">
        <v>8173315</v>
      </c>
      <c r="B503" s="8" t="s">
        <v>714</v>
      </c>
    </row>
    <row r="504" spans="1:2" ht="14.25" customHeight="1">
      <c r="A504" s="7">
        <v>8173317</v>
      </c>
      <c r="B504" s="8" t="s">
        <v>714</v>
      </c>
    </row>
    <row r="505" spans="1:2" ht="14.25" customHeight="1">
      <c r="A505" s="7">
        <v>8173318</v>
      </c>
      <c r="B505" s="8" t="s">
        <v>714</v>
      </c>
    </row>
    <row r="506" spans="1:2" ht="14.25" customHeight="1">
      <c r="A506" s="7">
        <v>8173319</v>
      </c>
      <c r="B506" s="8" t="s">
        <v>714</v>
      </c>
    </row>
    <row r="507" spans="1:2" ht="14.25" customHeight="1">
      <c r="A507" s="7">
        <v>8173320</v>
      </c>
      <c r="B507" s="8" t="s">
        <v>714</v>
      </c>
    </row>
    <row r="508" spans="1:2" ht="14.25" customHeight="1">
      <c r="A508" s="7">
        <v>8173321</v>
      </c>
      <c r="B508" s="8" t="s">
        <v>714</v>
      </c>
    </row>
    <row r="509" spans="1:2" ht="14.25" customHeight="1">
      <c r="A509" s="7">
        <v>8173322</v>
      </c>
      <c r="B509" s="8" t="s">
        <v>714</v>
      </c>
    </row>
    <row r="510" spans="1:2" ht="14.25" customHeight="1">
      <c r="A510" s="7">
        <v>8173324</v>
      </c>
      <c r="B510" s="8" t="s">
        <v>714</v>
      </c>
    </row>
    <row r="511" spans="1:2" ht="14.25" customHeight="1">
      <c r="A511" s="7">
        <v>8173367</v>
      </c>
      <c r="B511" s="8" t="s">
        <v>715</v>
      </c>
    </row>
    <row r="512" spans="1:2" ht="14.25" customHeight="1">
      <c r="A512" s="7">
        <v>7157347</v>
      </c>
      <c r="B512" s="8" t="s">
        <v>716</v>
      </c>
    </row>
    <row r="513" spans="1:2" ht="14.25" customHeight="1">
      <c r="A513" s="7">
        <v>31040088</v>
      </c>
      <c r="B513" s="8" t="s">
        <v>717</v>
      </c>
    </row>
    <row r="514" spans="1:2" ht="14.25" customHeight="1">
      <c r="A514" s="7">
        <v>31040104</v>
      </c>
      <c r="B514" s="8" t="s">
        <v>717</v>
      </c>
    </row>
    <row r="515" spans="1:2" ht="14.25" customHeight="1">
      <c r="A515" s="7">
        <v>31040105</v>
      </c>
      <c r="B515" s="8" t="s">
        <v>717</v>
      </c>
    </row>
    <row r="516" spans="1:2" ht="14.25" customHeight="1">
      <c r="A516" s="7">
        <v>31040106</v>
      </c>
      <c r="B516" s="8" t="s">
        <v>717</v>
      </c>
    </row>
    <row r="517" spans="1:2" ht="14.25" customHeight="1">
      <c r="A517" s="7">
        <v>31040107</v>
      </c>
      <c r="B517" s="8" t="s">
        <v>717</v>
      </c>
    </row>
    <row r="518" spans="1:2" ht="14.25" customHeight="1">
      <c r="A518" s="7">
        <v>31040109</v>
      </c>
      <c r="B518" s="8" t="s">
        <v>717</v>
      </c>
    </row>
    <row r="519" spans="1:2" ht="14.25" customHeight="1">
      <c r="A519" s="7">
        <v>31040110</v>
      </c>
      <c r="B519" s="8" t="s">
        <v>717</v>
      </c>
    </row>
    <row r="520" spans="1:2" ht="14.25" customHeight="1">
      <c r="A520" s="7">
        <v>31040111</v>
      </c>
      <c r="B520" s="8" t="s">
        <v>717</v>
      </c>
    </row>
    <row r="521" spans="1:2" ht="14.25" customHeight="1">
      <c r="A521" s="7">
        <v>31040112</v>
      </c>
      <c r="B521" s="8" t="s">
        <v>717</v>
      </c>
    </row>
    <row r="522" spans="1:2" ht="14.25" customHeight="1">
      <c r="A522" s="7">
        <v>31040073</v>
      </c>
      <c r="B522" s="8" t="s">
        <v>718</v>
      </c>
    </row>
    <row r="523" spans="1:2" ht="14.25" customHeight="1">
      <c r="A523" s="7">
        <v>31040004</v>
      </c>
      <c r="B523" s="8" t="s">
        <v>719</v>
      </c>
    </row>
    <row r="524" spans="1:2" ht="14.25" customHeight="1">
      <c r="A524" s="7">
        <v>31040021</v>
      </c>
      <c r="B524" s="8" t="s">
        <v>719</v>
      </c>
    </row>
    <row r="525" spans="1:2" ht="14.25" customHeight="1">
      <c r="A525" s="7">
        <v>31040025</v>
      </c>
      <c r="B525" s="8" t="s">
        <v>719</v>
      </c>
    </row>
    <row r="526" spans="1:2" ht="14.25" customHeight="1">
      <c r="A526" s="7">
        <v>31040026</v>
      </c>
      <c r="B526" s="8" t="s">
        <v>719</v>
      </c>
    </row>
    <row r="527" spans="1:2" ht="14.25" customHeight="1">
      <c r="A527" s="7">
        <v>31040027</v>
      </c>
      <c r="B527" s="8" t="s">
        <v>719</v>
      </c>
    </row>
    <row r="528" spans="1:2" ht="14.25" customHeight="1">
      <c r="A528" s="7">
        <v>31040031</v>
      </c>
      <c r="B528" s="8" t="s">
        <v>719</v>
      </c>
    </row>
    <row r="529" spans="1:2" ht="14.25" customHeight="1">
      <c r="A529" s="7">
        <v>31040039</v>
      </c>
      <c r="B529" s="8" t="s">
        <v>719</v>
      </c>
    </row>
    <row r="530" spans="1:2" ht="14.25" customHeight="1">
      <c r="A530" s="7">
        <v>31040097</v>
      </c>
      <c r="B530" s="8" t="s">
        <v>719</v>
      </c>
    </row>
    <row r="531" spans="1:2" ht="14.25" customHeight="1">
      <c r="A531" s="7">
        <v>31040099</v>
      </c>
      <c r="B531" s="8" t="s">
        <v>719</v>
      </c>
    </row>
    <row r="532" spans="1:2" ht="14.25" customHeight="1">
      <c r="A532" s="7">
        <v>31040117</v>
      </c>
      <c r="B532" s="8" t="s">
        <v>719</v>
      </c>
    </row>
    <row r="533" spans="1:2" ht="14.25" customHeight="1">
      <c r="A533" s="7">
        <v>31040118</v>
      </c>
      <c r="B533" s="8" t="s">
        <v>719</v>
      </c>
    </row>
    <row r="534" spans="1:2" ht="14.25" customHeight="1">
      <c r="A534" s="7">
        <v>31040023</v>
      </c>
      <c r="B534" s="8" t="s">
        <v>720</v>
      </c>
    </row>
    <row r="535" spans="1:2" ht="14.25" customHeight="1">
      <c r="A535" s="7">
        <v>31040033</v>
      </c>
      <c r="B535" s="8" t="s">
        <v>720</v>
      </c>
    </row>
    <row r="536" spans="1:2" ht="14.25" customHeight="1">
      <c r="A536" s="7">
        <v>31040046</v>
      </c>
      <c r="B536" s="8" t="s">
        <v>720</v>
      </c>
    </row>
    <row r="537" spans="1:2" ht="14.25" customHeight="1">
      <c r="A537" s="7">
        <v>31040047</v>
      </c>
      <c r="B537" s="8" t="s">
        <v>720</v>
      </c>
    </row>
    <row r="538" spans="1:2" ht="14.25" customHeight="1">
      <c r="A538" s="7">
        <v>31040052</v>
      </c>
      <c r="B538" s="8" t="s">
        <v>720</v>
      </c>
    </row>
    <row r="539" spans="1:2" ht="14.25" customHeight="1">
      <c r="A539" s="7">
        <v>31040167</v>
      </c>
      <c r="B539" s="8" t="s">
        <v>720</v>
      </c>
    </row>
    <row r="540" spans="1:2" ht="14.25" customHeight="1">
      <c r="A540" s="7">
        <v>31040171</v>
      </c>
      <c r="B540" s="8" t="s">
        <v>720</v>
      </c>
    </row>
    <row r="541" spans="1:2" ht="14.25" customHeight="1">
      <c r="A541" s="7">
        <v>31040173</v>
      </c>
      <c r="B541" s="8" t="s">
        <v>720</v>
      </c>
    </row>
    <row r="542" spans="1:2" ht="14.25" customHeight="1">
      <c r="A542" s="7">
        <v>31040007</v>
      </c>
      <c r="B542" s="8" t="s">
        <v>721</v>
      </c>
    </row>
    <row r="543" spans="1:2" ht="14.25" customHeight="1">
      <c r="A543" s="7">
        <v>31040009</v>
      </c>
      <c r="B543" s="8" t="s">
        <v>721</v>
      </c>
    </row>
    <row r="544" spans="1:2" ht="14.25" customHeight="1">
      <c r="A544" s="7">
        <v>31040010</v>
      </c>
      <c r="B544" s="8" t="s">
        <v>721</v>
      </c>
    </row>
    <row r="545" spans="1:2" ht="14.25" customHeight="1">
      <c r="A545" s="7">
        <v>31040012</v>
      </c>
      <c r="B545" s="8" t="s">
        <v>721</v>
      </c>
    </row>
    <row r="546" spans="1:2" ht="14.25" customHeight="1">
      <c r="A546" s="7">
        <v>31040022</v>
      </c>
      <c r="B546" s="8" t="s">
        <v>721</v>
      </c>
    </row>
    <row r="547" spans="1:2" ht="14.25" customHeight="1">
      <c r="A547" s="7">
        <v>31040024</v>
      </c>
      <c r="B547" s="8" t="s">
        <v>721</v>
      </c>
    </row>
    <row r="548" spans="1:2" ht="14.25" customHeight="1">
      <c r="A548" s="7">
        <v>31040029</v>
      </c>
      <c r="B548" s="8" t="s">
        <v>721</v>
      </c>
    </row>
    <row r="549" spans="1:2" ht="14.25" customHeight="1">
      <c r="A549" s="7">
        <v>31040030</v>
      </c>
      <c r="B549" s="8" t="s">
        <v>721</v>
      </c>
    </row>
    <row r="550" spans="1:2" ht="14.25" customHeight="1">
      <c r="A550" s="7">
        <v>31040032</v>
      </c>
      <c r="B550" s="8" t="s">
        <v>721</v>
      </c>
    </row>
    <row r="551" spans="1:2" ht="14.25" customHeight="1">
      <c r="A551" s="7">
        <v>31040034</v>
      </c>
      <c r="B551" s="8" t="s">
        <v>721</v>
      </c>
    </row>
    <row r="552" spans="1:2" ht="14.25" customHeight="1">
      <c r="A552" s="7">
        <v>31040036</v>
      </c>
      <c r="B552" s="8" t="s">
        <v>721</v>
      </c>
    </row>
    <row r="553" spans="1:2" ht="14.25" customHeight="1">
      <c r="A553" s="7">
        <v>31040037</v>
      </c>
      <c r="B553" s="8" t="s">
        <v>721</v>
      </c>
    </row>
    <row r="554" spans="1:2" ht="14.25" customHeight="1">
      <c r="A554" s="7">
        <v>31040038</v>
      </c>
      <c r="B554" s="8" t="s">
        <v>721</v>
      </c>
    </row>
    <row r="555" spans="1:2" ht="14.25" customHeight="1">
      <c r="A555" s="7">
        <v>31040069</v>
      </c>
      <c r="B555" s="8" t="s">
        <v>721</v>
      </c>
    </row>
    <row r="556" spans="1:2" ht="14.25" customHeight="1">
      <c r="A556" s="7">
        <v>31040074</v>
      </c>
      <c r="B556" s="8" t="s">
        <v>721</v>
      </c>
    </row>
    <row r="557" spans="1:2" ht="14.25" customHeight="1">
      <c r="A557" s="7">
        <v>31040077</v>
      </c>
      <c r="B557" s="8" t="s">
        <v>721</v>
      </c>
    </row>
    <row r="558" spans="1:2" ht="14.25" customHeight="1">
      <c r="A558" s="7">
        <v>31040013</v>
      </c>
      <c r="B558" s="8" t="s">
        <v>722</v>
      </c>
    </row>
    <row r="559" spans="1:2" ht="14.25" customHeight="1">
      <c r="A559" s="7">
        <v>31040014</v>
      </c>
      <c r="B559" s="8" t="s">
        <v>722</v>
      </c>
    </row>
    <row r="560" spans="1:2" ht="14.25" customHeight="1">
      <c r="A560" s="7">
        <v>31040015</v>
      </c>
      <c r="B560" s="8" t="s">
        <v>722</v>
      </c>
    </row>
    <row r="561" spans="1:2" ht="14.25" customHeight="1">
      <c r="A561" s="7">
        <v>31040016</v>
      </c>
      <c r="B561" s="8" t="s">
        <v>722</v>
      </c>
    </row>
    <row r="562" spans="1:2" ht="14.25" customHeight="1">
      <c r="A562" s="7">
        <v>31040017</v>
      </c>
      <c r="B562" s="8" t="s">
        <v>722</v>
      </c>
    </row>
    <row r="563" spans="1:2" ht="14.25" customHeight="1">
      <c r="A563" s="7">
        <v>31040018</v>
      </c>
      <c r="B563" s="8" t="s">
        <v>722</v>
      </c>
    </row>
    <row r="564" spans="1:2" ht="14.25" customHeight="1">
      <c r="A564" s="7">
        <v>31040019</v>
      </c>
      <c r="B564" s="8" t="s">
        <v>722</v>
      </c>
    </row>
    <row r="565" spans="1:2" ht="14.25" customHeight="1">
      <c r="A565" s="7">
        <v>31040020</v>
      </c>
      <c r="B565" s="8" t="s">
        <v>722</v>
      </c>
    </row>
    <row r="566" spans="1:2" ht="14.25" customHeight="1">
      <c r="A566" s="7">
        <v>31040116</v>
      </c>
      <c r="B566" s="8" t="s">
        <v>722</v>
      </c>
    </row>
    <row r="567" spans="1:2" ht="14.25" customHeight="1">
      <c r="A567" s="7">
        <v>31040333</v>
      </c>
      <c r="B567" s="8" t="s">
        <v>723</v>
      </c>
    </row>
    <row r="568" spans="1:2" ht="14.25" customHeight="1">
      <c r="A568" s="7">
        <v>31040334</v>
      </c>
      <c r="B568" s="8" t="s">
        <v>723</v>
      </c>
    </row>
    <row r="569" spans="1:2" ht="14.25" customHeight="1">
      <c r="A569" s="7">
        <v>31040335</v>
      </c>
      <c r="B569" s="8" t="s">
        <v>723</v>
      </c>
    </row>
    <row r="570" spans="1:2" ht="14.25" customHeight="1">
      <c r="A570" s="7">
        <v>31040341</v>
      </c>
      <c r="B570" s="8" t="s">
        <v>723</v>
      </c>
    </row>
    <row r="571" spans="1:2" ht="14.25" customHeight="1">
      <c r="A571" s="7">
        <v>31040342</v>
      </c>
      <c r="B571" s="8" t="s">
        <v>723</v>
      </c>
    </row>
    <row r="572" spans="1:2" ht="14.25" customHeight="1">
      <c r="A572" s="7">
        <v>31040358</v>
      </c>
      <c r="B572" s="8" t="s">
        <v>723</v>
      </c>
    </row>
    <row r="573" spans="1:2" ht="14.25" customHeight="1">
      <c r="A573" s="7">
        <v>31040381</v>
      </c>
      <c r="B573" s="8" t="s">
        <v>723</v>
      </c>
    </row>
    <row r="574" spans="1:2" ht="14.25" customHeight="1">
      <c r="A574" s="7">
        <v>11040004</v>
      </c>
      <c r="B574" s="8" t="s">
        <v>724</v>
      </c>
    </row>
    <row r="575" spans="1:2" ht="14.25" customHeight="1">
      <c r="A575" s="7">
        <v>11040005</v>
      </c>
      <c r="B575" s="8" t="s">
        <v>724</v>
      </c>
    </row>
    <row r="576" spans="1:2" ht="14.25" customHeight="1">
      <c r="A576" s="7">
        <v>11040006</v>
      </c>
      <c r="B576" s="8" t="s">
        <v>724</v>
      </c>
    </row>
    <row r="577" spans="1:2" ht="14.25" customHeight="1">
      <c r="A577" s="7">
        <v>11040013</v>
      </c>
      <c r="B577" s="8" t="s">
        <v>724</v>
      </c>
    </row>
    <row r="578" spans="1:2" ht="14.25" customHeight="1">
      <c r="A578" s="7">
        <v>11040014</v>
      </c>
      <c r="B578" s="8" t="s">
        <v>724</v>
      </c>
    </row>
    <row r="579" spans="1:2" ht="14.25" customHeight="1">
      <c r="A579" s="7">
        <v>11040015</v>
      </c>
      <c r="B579" s="8" t="s">
        <v>724</v>
      </c>
    </row>
    <row r="580" spans="1:2" ht="14.25" customHeight="1">
      <c r="A580" s="7">
        <v>11040016</v>
      </c>
      <c r="B580" s="8" t="s">
        <v>724</v>
      </c>
    </row>
    <row r="581" spans="1:2" ht="14.25" customHeight="1">
      <c r="A581" s="7">
        <v>11040017</v>
      </c>
      <c r="B581" s="8" t="s">
        <v>724</v>
      </c>
    </row>
    <row r="582" spans="1:2" ht="14.25" customHeight="1">
      <c r="A582" s="7">
        <v>11040018</v>
      </c>
      <c r="B582" s="8" t="s">
        <v>724</v>
      </c>
    </row>
    <row r="583" spans="1:2" ht="14.25" customHeight="1">
      <c r="A583" s="7">
        <v>11040019</v>
      </c>
      <c r="B583" s="8" t="s">
        <v>724</v>
      </c>
    </row>
    <row r="584" spans="1:2" ht="14.25" customHeight="1">
      <c r="A584" s="7">
        <v>11040020</v>
      </c>
      <c r="B584" s="8" t="s">
        <v>724</v>
      </c>
    </row>
    <row r="585" spans="1:2" ht="14.25" customHeight="1">
      <c r="A585" s="7">
        <v>11040021</v>
      </c>
      <c r="B585" s="8" t="s">
        <v>724</v>
      </c>
    </row>
    <row r="586" spans="1:2" ht="14.25" customHeight="1">
      <c r="A586" s="7">
        <v>11040022</v>
      </c>
      <c r="B586" s="8" t="s">
        <v>724</v>
      </c>
    </row>
    <row r="587" spans="1:2" ht="14.25" customHeight="1">
      <c r="A587" s="7">
        <v>11040023</v>
      </c>
      <c r="B587" s="8" t="s">
        <v>724</v>
      </c>
    </row>
    <row r="588" spans="1:2" ht="14.25" customHeight="1">
      <c r="A588" s="7">
        <v>11040024</v>
      </c>
      <c r="B588" s="8" t="s">
        <v>724</v>
      </c>
    </row>
    <row r="589" spans="1:2" ht="14.25" customHeight="1">
      <c r="A589" s="7">
        <v>11040025</v>
      </c>
      <c r="B589" s="8" t="s">
        <v>724</v>
      </c>
    </row>
    <row r="590" spans="1:2" ht="14.25" customHeight="1">
      <c r="A590" s="7">
        <v>31040042</v>
      </c>
      <c r="B590" s="8" t="s">
        <v>725</v>
      </c>
    </row>
    <row r="591" spans="1:2" ht="14.25" customHeight="1">
      <c r="A591" s="7">
        <v>31040043</v>
      </c>
      <c r="B591" s="8" t="s">
        <v>725</v>
      </c>
    </row>
    <row r="592" spans="1:2" ht="14.25" customHeight="1">
      <c r="A592" s="7">
        <v>31040044</v>
      </c>
      <c r="B592" s="8" t="s">
        <v>725</v>
      </c>
    </row>
    <row r="593" spans="1:2" ht="14.25" customHeight="1">
      <c r="A593" s="7">
        <v>31040045</v>
      </c>
      <c r="B593" s="8" t="s">
        <v>725</v>
      </c>
    </row>
    <row r="594" spans="1:2" ht="14.25" customHeight="1">
      <c r="A594" s="7">
        <v>31040049</v>
      </c>
      <c r="B594" s="8" t="s">
        <v>725</v>
      </c>
    </row>
    <row r="595" spans="1:2" ht="14.25" customHeight="1">
      <c r="A595" s="7">
        <v>31040055</v>
      </c>
      <c r="B595" s="8" t="s">
        <v>725</v>
      </c>
    </row>
    <row r="596" spans="1:2" ht="14.25" customHeight="1">
      <c r="A596" s="7">
        <v>31040056</v>
      </c>
      <c r="B596" s="8" t="s">
        <v>725</v>
      </c>
    </row>
    <row r="597" spans="1:2" ht="14.25" customHeight="1">
      <c r="A597" s="7">
        <v>31040057</v>
      </c>
      <c r="B597" s="8" t="s">
        <v>725</v>
      </c>
    </row>
    <row r="598" spans="1:2" ht="14.25" customHeight="1">
      <c r="A598" s="7">
        <v>31040058</v>
      </c>
      <c r="B598" s="8" t="s">
        <v>725</v>
      </c>
    </row>
    <row r="599" spans="1:2" ht="14.25" customHeight="1">
      <c r="A599" s="7">
        <v>31040067</v>
      </c>
      <c r="B599" s="8" t="s">
        <v>725</v>
      </c>
    </row>
    <row r="600" spans="1:2" ht="14.25" customHeight="1">
      <c r="A600" s="7">
        <v>31040071</v>
      </c>
      <c r="B600" s="8" t="s">
        <v>725</v>
      </c>
    </row>
    <row r="601" spans="1:2" ht="14.25" customHeight="1">
      <c r="A601" s="7">
        <v>31040072</v>
      </c>
      <c r="B601" s="8" t="s">
        <v>725</v>
      </c>
    </row>
    <row r="602" spans="1:2" ht="14.25" customHeight="1">
      <c r="A602" s="7">
        <v>31040075</v>
      </c>
      <c r="B602" s="8" t="s">
        <v>725</v>
      </c>
    </row>
    <row r="603" spans="1:2" ht="14.25" customHeight="1">
      <c r="A603" s="7">
        <v>31040080</v>
      </c>
      <c r="B603" s="8" t="s">
        <v>725</v>
      </c>
    </row>
    <row r="604" spans="1:2" ht="14.25" customHeight="1">
      <c r="A604" s="7">
        <v>31040102</v>
      </c>
      <c r="B604" s="8" t="s">
        <v>725</v>
      </c>
    </row>
    <row r="605" spans="1:2" ht="14.25" customHeight="1">
      <c r="A605" s="7">
        <v>31040168</v>
      </c>
      <c r="B605" s="8" t="s">
        <v>725</v>
      </c>
    </row>
    <row r="606" spans="1:2" ht="14.25" customHeight="1">
      <c r="A606" s="7">
        <v>31040321</v>
      </c>
      <c r="B606" s="8" t="s">
        <v>725</v>
      </c>
    </row>
    <row r="607" spans="1:2" ht="14.25" customHeight="1">
      <c r="A607" s="7">
        <v>31040322</v>
      </c>
      <c r="B607" s="8" t="s">
        <v>725</v>
      </c>
    </row>
    <row r="608" spans="1:2" ht="14.25" customHeight="1">
      <c r="A608" s="7">
        <v>31040323</v>
      </c>
      <c r="B608" s="8" t="s">
        <v>725</v>
      </c>
    </row>
    <row r="609" spans="1:2" ht="14.25" customHeight="1">
      <c r="A609" s="7">
        <v>31040346</v>
      </c>
      <c r="B609" s="8" t="s">
        <v>725</v>
      </c>
    </row>
    <row r="610" spans="1:2" ht="14.25" customHeight="1">
      <c r="A610" s="7">
        <v>31040382</v>
      </c>
      <c r="B610" s="8" t="s">
        <v>725</v>
      </c>
    </row>
    <row r="611" spans="1:2" ht="14.25" customHeight="1">
      <c r="A611" s="7">
        <v>17320755</v>
      </c>
      <c r="B611" s="8" t="s">
        <v>726</v>
      </c>
    </row>
    <row r="612" spans="1:2" ht="14.25" customHeight="1">
      <c r="A612" s="7">
        <v>31040005</v>
      </c>
      <c r="B612" s="8" t="s">
        <v>726</v>
      </c>
    </row>
    <row r="613" spans="1:2" ht="14.25" customHeight="1">
      <c r="A613" s="7">
        <v>31040006</v>
      </c>
      <c r="B613" s="8" t="s">
        <v>726</v>
      </c>
    </row>
    <row r="614" spans="1:2" ht="14.25" customHeight="1">
      <c r="A614" s="7">
        <v>31040011</v>
      </c>
      <c r="B614" s="8" t="s">
        <v>726</v>
      </c>
    </row>
    <row r="615" spans="1:2" ht="14.25" customHeight="1">
      <c r="A615" s="7">
        <v>31040041</v>
      </c>
      <c r="B615" s="8" t="s">
        <v>726</v>
      </c>
    </row>
    <row r="616" spans="1:2" ht="14.25" customHeight="1">
      <c r="A616" s="7">
        <v>31040048</v>
      </c>
      <c r="B616" s="8" t="s">
        <v>726</v>
      </c>
    </row>
    <row r="617" spans="1:2" ht="14.25" customHeight="1">
      <c r="A617" s="7">
        <v>31040050</v>
      </c>
      <c r="B617" s="8" t="s">
        <v>726</v>
      </c>
    </row>
    <row r="618" spans="1:2" ht="14.25" customHeight="1">
      <c r="A618" s="7">
        <v>31040051</v>
      </c>
      <c r="B618" s="8" t="s">
        <v>726</v>
      </c>
    </row>
    <row r="619" spans="1:2" ht="14.25" customHeight="1">
      <c r="A619" s="7">
        <v>31040059</v>
      </c>
      <c r="B619" s="8" t="s">
        <v>726</v>
      </c>
    </row>
    <row r="620" spans="1:2" ht="14.25" customHeight="1">
      <c r="A620" s="7">
        <v>31040060</v>
      </c>
      <c r="B620" s="8" t="s">
        <v>726</v>
      </c>
    </row>
    <row r="621" spans="1:2" ht="14.25" customHeight="1">
      <c r="A621" s="7">
        <v>31040061</v>
      </c>
      <c r="B621" s="8" t="s">
        <v>726</v>
      </c>
    </row>
    <row r="622" spans="1:2" ht="14.25" customHeight="1">
      <c r="A622" s="7">
        <v>31040062</v>
      </c>
      <c r="B622" s="8" t="s">
        <v>726</v>
      </c>
    </row>
    <row r="623" spans="1:2" ht="14.25" customHeight="1">
      <c r="A623" s="7">
        <v>31040063</v>
      </c>
      <c r="B623" s="8" t="s">
        <v>726</v>
      </c>
    </row>
    <row r="624" spans="1:2" ht="14.25" customHeight="1">
      <c r="A624" s="7">
        <v>31040065</v>
      </c>
      <c r="B624" s="8" t="s">
        <v>726</v>
      </c>
    </row>
    <row r="625" spans="1:2" ht="14.25" customHeight="1">
      <c r="A625" s="7">
        <v>31040068</v>
      </c>
      <c r="B625" s="8" t="s">
        <v>726</v>
      </c>
    </row>
    <row r="626" spans="1:2" ht="14.25" customHeight="1">
      <c r="A626" s="7">
        <v>31040070</v>
      </c>
      <c r="B626" s="8" t="s">
        <v>726</v>
      </c>
    </row>
    <row r="627" spans="1:2" ht="14.25" customHeight="1">
      <c r="A627" s="7">
        <v>31040078</v>
      </c>
      <c r="B627" s="8" t="s">
        <v>726</v>
      </c>
    </row>
    <row r="628" spans="1:2" ht="14.25" customHeight="1">
      <c r="A628" s="7">
        <v>31040081</v>
      </c>
      <c r="B628" s="8" t="s">
        <v>726</v>
      </c>
    </row>
    <row r="629" spans="1:2" ht="14.25" customHeight="1">
      <c r="A629" s="7">
        <v>31040084</v>
      </c>
      <c r="B629" s="8" t="s">
        <v>726</v>
      </c>
    </row>
    <row r="630" spans="1:2" ht="14.25" customHeight="1">
      <c r="A630" s="7">
        <v>31040086</v>
      </c>
      <c r="B630" s="8" t="s">
        <v>726</v>
      </c>
    </row>
    <row r="631" spans="1:2" ht="14.25" customHeight="1">
      <c r="A631" s="7">
        <v>31040090</v>
      </c>
      <c r="B631" s="8" t="s">
        <v>726</v>
      </c>
    </row>
    <row r="632" spans="1:2" ht="14.25" customHeight="1">
      <c r="A632" s="7">
        <v>31040091</v>
      </c>
      <c r="B632" s="8" t="s">
        <v>726</v>
      </c>
    </row>
    <row r="633" spans="1:2" ht="14.25" customHeight="1">
      <c r="A633" s="7">
        <v>31040093</v>
      </c>
      <c r="B633" s="8" t="s">
        <v>726</v>
      </c>
    </row>
    <row r="634" spans="1:2" ht="14.25" customHeight="1">
      <c r="A634" s="7">
        <v>31040094</v>
      </c>
      <c r="B634" s="8" t="s">
        <v>726</v>
      </c>
    </row>
    <row r="635" spans="1:2" ht="14.25" customHeight="1">
      <c r="A635" s="7">
        <v>31040096</v>
      </c>
      <c r="B635" s="8" t="s">
        <v>726</v>
      </c>
    </row>
    <row r="636" spans="1:2" ht="14.25" customHeight="1">
      <c r="A636" s="7">
        <v>31040098</v>
      </c>
      <c r="B636" s="8" t="s">
        <v>726</v>
      </c>
    </row>
    <row r="637" spans="1:2" ht="14.25" customHeight="1">
      <c r="A637" s="7">
        <v>31040170</v>
      </c>
      <c r="B637" s="8" t="s">
        <v>726</v>
      </c>
    </row>
    <row r="638" spans="1:2" ht="14.25" customHeight="1">
      <c r="A638" s="7">
        <v>31040172</v>
      </c>
      <c r="B638" s="8" t="s">
        <v>726</v>
      </c>
    </row>
    <row r="639" spans="1:2" ht="14.25" customHeight="1">
      <c r="A639" s="7">
        <v>31040191</v>
      </c>
      <c r="B639" s="8" t="s">
        <v>726</v>
      </c>
    </row>
    <row r="640" spans="1:2" ht="14.25" customHeight="1">
      <c r="A640" s="7">
        <v>31040193</v>
      </c>
      <c r="B640" s="8" t="s">
        <v>726</v>
      </c>
    </row>
    <row r="641" spans="1:2" ht="14.25" customHeight="1">
      <c r="A641" s="7">
        <v>61521080</v>
      </c>
      <c r="B641" s="8" t="s">
        <v>726</v>
      </c>
    </row>
    <row r="642" spans="1:2" ht="14.25" customHeight="1">
      <c r="A642" s="7">
        <v>61521081</v>
      </c>
      <c r="B642" s="8" t="s">
        <v>726</v>
      </c>
    </row>
    <row r="643" spans="1:2" ht="14.25" customHeight="1">
      <c r="A643" s="7">
        <v>31040040</v>
      </c>
      <c r="B643" s="8" t="s">
        <v>727</v>
      </c>
    </row>
    <row r="644" spans="1:2" ht="14.25" customHeight="1">
      <c r="A644" s="7">
        <v>31040079</v>
      </c>
      <c r="B644" s="8" t="s">
        <v>727</v>
      </c>
    </row>
    <row r="645" spans="1:2" ht="14.25" customHeight="1">
      <c r="A645" s="7">
        <v>31040083</v>
      </c>
      <c r="B645" s="8" t="s">
        <v>727</v>
      </c>
    </row>
    <row r="646" spans="1:2" ht="14.25" customHeight="1">
      <c r="A646" s="7">
        <v>31040101</v>
      </c>
      <c r="B646" s="8" t="s">
        <v>727</v>
      </c>
    </row>
    <row r="647" spans="1:2" ht="14.25" customHeight="1">
      <c r="A647" s="7">
        <v>31040235</v>
      </c>
      <c r="B647" s="8" t="s">
        <v>727</v>
      </c>
    </row>
    <row r="648" spans="1:2" ht="14.25" customHeight="1">
      <c r="A648" s="7">
        <v>31040320</v>
      </c>
      <c r="B648" s="8" t="s">
        <v>727</v>
      </c>
    </row>
    <row r="649" spans="1:2" ht="14.25" customHeight="1">
      <c r="A649" s="7">
        <v>31040332</v>
      </c>
      <c r="B649" s="8" t="s">
        <v>727</v>
      </c>
    </row>
    <row r="650" spans="1:2" ht="14.25" customHeight="1">
      <c r="A650" s="7">
        <v>31040355</v>
      </c>
      <c r="B650" s="8" t="s">
        <v>727</v>
      </c>
    </row>
    <row r="651" spans="1:2" ht="14.25" customHeight="1">
      <c r="A651" s="7">
        <v>31040356</v>
      </c>
      <c r="B651" s="8" t="s">
        <v>727</v>
      </c>
    </row>
    <row r="652" spans="1:2" ht="14.25" customHeight="1">
      <c r="A652" s="7">
        <v>31040357</v>
      </c>
      <c r="B652" s="8" t="s">
        <v>727</v>
      </c>
    </row>
    <row r="653" spans="1:2" ht="14.25" customHeight="1">
      <c r="A653" s="7">
        <v>31040378</v>
      </c>
      <c r="B653" s="8" t="s">
        <v>727</v>
      </c>
    </row>
    <row r="654" spans="1:2" ht="14.25" customHeight="1">
      <c r="A654" s="7">
        <v>31040380</v>
      </c>
      <c r="B654" s="8" t="s">
        <v>727</v>
      </c>
    </row>
    <row r="655" spans="1:2" ht="14.25" customHeight="1">
      <c r="A655" s="7">
        <v>31040003</v>
      </c>
      <c r="B655" s="8" t="s">
        <v>728</v>
      </c>
    </row>
    <row r="656" spans="1:2" ht="14.25" customHeight="1">
      <c r="A656" s="7">
        <v>31040028</v>
      </c>
      <c r="B656" s="8" t="s">
        <v>728</v>
      </c>
    </row>
    <row r="657" spans="1:2" ht="14.25" customHeight="1">
      <c r="A657" s="7">
        <v>31040053</v>
      </c>
      <c r="B657" s="8" t="s">
        <v>728</v>
      </c>
    </row>
    <row r="658" spans="1:2" ht="14.25" customHeight="1">
      <c r="A658" s="7">
        <v>31040054</v>
      </c>
      <c r="B658" s="8" t="s">
        <v>728</v>
      </c>
    </row>
    <row r="659" spans="1:2" ht="14.25" customHeight="1">
      <c r="A659" s="7">
        <v>31040066</v>
      </c>
      <c r="B659" s="8" t="s">
        <v>728</v>
      </c>
    </row>
    <row r="660" spans="1:2" ht="14.25" customHeight="1">
      <c r="A660" s="7">
        <v>31040095</v>
      </c>
      <c r="B660" s="8" t="s">
        <v>728</v>
      </c>
    </row>
    <row r="661" spans="1:2" ht="14.25" customHeight="1">
      <c r="A661" s="7">
        <v>31040100</v>
      </c>
      <c r="B661" s="8" t="s">
        <v>728</v>
      </c>
    </row>
    <row r="662" spans="1:2" ht="14.25" customHeight="1">
      <c r="A662" s="7">
        <v>31040192</v>
      </c>
      <c r="B662" s="8" t="s">
        <v>728</v>
      </c>
    </row>
    <row r="663" spans="1:2" ht="14.25" customHeight="1">
      <c r="A663" s="7">
        <v>31040064</v>
      </c>
      <c r="B663" s="8" t="s">
        <v>729</v>
      </c>
    </row>
    <row r="664" spans="1:2" ht="14.25" customHeight="1">
      <c r="A664" s="7">
        <v>31040169</v>
      </c>
      <c r="B664" s="8" t="s">
        <v>729</v>
      </c>
    </row>
    <row r="665" spans="1:2" ht="14.25" customHeight="1">
      <c r="A665" s="7">
        <v>31040354</v>
      </c>
      <c r="B665" s="8" t="s">
        <v>729</v>
      </c>
    </row>
    <row r="666" spans="1:2" ht="14.25" customHeight="1">
      <c r="A666" s="7">
        <v>61521030</v>
      </c>
      <c r="B666" s="8" t="s">
        <v>730</v>
      </c>
    </row>
    <row r="667" spans="1:2" ht="14.25" customHeight="1">
      <c r="A667" s="7">
        <v>61521031</v>
      </c>
      <c r="B667" s="8" t="s">
        <v>730</v>
      </c>
    </row>
    <row r="668" spans="1:2" ht="14.25" customHeight="1">
      <c r="A668" s="7">
        <v>61521008</v>
      </c>
      <c r="B668" s="8" t="s">
        <v>731</v>
      </c>
    </row>
    <row r="669" spans="1:2" ht="14.25" customHeight="1">
      <c r="A669" s="7">
        <v>61521009</v>
      </c>
      <c r="B669" s="8" t="s">
        <v>731</v>
      </c>
    </row>
    <row r="670" spans="1:2" ht="14.25" customHeight="1">
      <c r="A670" s="7">
        <v>61521010</v>
      </c>
      <c r="B670" s="8" t="s">
        <v>731</v>
      </c>
    </row>
    <row r="671" spans="1:2" ht="14.25" customHeight="1">
      <c r="A671" s="7">
        <v>6173016</v>
      </c>
      <c r="B671" s="8" t="s">
        <v>732</v>
      </c>
    </row>
    <row r="672" spans="1:2" ht="14.25" customHeight="1">
      <c r="A672" s="7">
        <v>6172005</v>
      </c>
      <c r="B672" s="8" t="s">
        <v>733</v>
      </c>
    </row>
    <row r="673" spans="1:2" ht="14.25" customHeight="1">
      <c r="A673" s="7">
        <v>6173020</v>
      </c>
      <c r="B673" s="8" t="s">
        <v>733</v>
      </c>
    </row>
    <row r="674" spans="1:2" ht="14.25" customHeight="1">
      <c r="A674" s="7">
        <v>31050022</v>
      </c>
      <c r="B674" s="8" t="s">
        <v>734</v>
      </c>
    </row>
    <row r="675" spans="1:2" ht="14.25" customHeight="1">
      <c r="A675" s="7">
        <v>31050001</v>
      </c>
      <c r="B675" s="8" t="s">
        <v>735</v>
      </c>
    </row>
    <row r="676" spans="1:2" ht="14.25" customHeight="1">
      <c r="A676" s="7">
        <v>61521074</v>
      </c>
      <c r="B676" s="8" t="s">
        <v>736</v>
      </c>
    </row>
    <row r="677" spans="1:2" ht="14.25" customHeight="1">
      <c r="A677" s="7">
        <v>61521075</v>
      </c>
      <c r="B677" s="8" t="s">
        <v>736</v>
      </c>
    </row>
    <row r="678" spans="1:2" ht="14.25" customHeight="1">
      <c r="A678" s="7">
        <v>1731800</v>
      </c>
      <c r="B678" s="8" t="s">
        <v>737</v>
      </c>
    </row>
    <row r="679" spans="1:2" ht="14.25" customHeight="1">
      <c r="A679" s="7">
        <v>1732152</v>
      </c>
      <c r="B679" s="8" t="s">
        <v>738</v>
      </c>
    </row>
    <row r="680" spans="1:2" ht="14.25" customHeight="1">
      <c r="A680" s="7">
        <v>17320822</v>
      </c>
      <c r="B680" s="8" t="s">
        <v>739</v>
      </c>
    </row>
    <row r="681" spans="1:2" ht="14.25" customHeight="1">
      <c r="A681" s="7">
        <v>1731646</v>
      </c>
      <c r="B681" s="8" t="s">
        <v>740</v>
      </c>
    </row>
    <row r="682" spans="1:2" ht="14.25" customHeight="1">
      <c r="A682" s="7">
        <v>1731201</v>
      </c>
      <c r="B682" s="8" t="s">
        <v>741</v>
      </c>
    </row>
    <row r="683" spans="1:2" ht="14.25" customHeight="1">
      <c r="A683" s="7">
        <v>1731981</v>
      </c>
      <c r="B683" s="8" t="s">
        <v>741</v>
      </c>
    </row>
    <row r="684" spans="1:2" ht="14.25" customHeight="1">
      <c r="A684" s="7">
        <v>1731342</v>
      </c>
      <c r="B684" s="8" t="s">
        <v>742</v>
      </c>
    </row>
    <row r="685" spans="1:2" ht="14.25" customHeight="1">
      <c r="A685" s="7">
        <v>1732051</v>
      </c>
      <c r="B685" s="8" t="s">
        <v>743</v>
      </c>
    </row>
    <row r="686" spans="1:2" ht="14.25" customHeight="1">
      <c r="A686" s="7">
        <v>1732082</v>
      </c>
      <c r="B686" s="8" t="s">
        <v>744</v>
      </c>
    </row>
    <row r="687" spans="1:2" ht="14.25" customHeight="1">
      <c r="A687" s="7">
        <v>1731429</v>
      </c>
      <c r="B687" s="8" t="s">
        <v>745</v>
      </c>
    </row>
    <row r="688" spans="1:2" ht="14.25" customHeight="1">
      <c r="A688" s="7">
        <v>17320825</v>
      </c>
      <c r="B688" s="8" t="s">
        <v>746</v>
      </c>
    </row>
    <row r="689" spans="1:2" ht="14.25" customHeight="1">
      <c r="A689" s="7">
        <v>1731422</v>
      </c>
      <c r="B689" s="8" t="s">
        <v>747</v>
      </c>
    </row>
    <row r="690" spans="1:2" ht="14.25" customHeight="1">
      <c r="A690" s="7">
        <v>1731353</v>
      </c>
      <c r="B690" s="8" t="s">
        <v>748</v>
      </c>
    </row>
    <row r="691" spans="1:2" ht="14.25" customHeight="1">
      <c r="A691" s="7">
        <v>1731805</v>
      </c>
      <c r="B691" s="8" t="s">
        <v>749</v>
      </c>
    </row>
    <row r="692" spans="1:2" ht="14.25" customHeight="1">
      <c r="A692" s="7">
        <v>1732241</v>
      </c>
      <c r="B692" s="8" t="s">
        <v>750</v>
      </c>
    </row>
    <row r="693" spans="1:2" ht="14.25" customHeight="1">
      <c r="A693" s="7">
        <v>61570304</v>
      </c>
      <c r="B693" s="8" t="s">
        <v>751</v>
      </c>
    </row>
    <row r="694" spans="1:2" ht="14.25" customHeight="1">
      <c r="A694" s="7">
        <v>61570373</v>
      </c>
      <c r="B694" s="8" t="s">
        <v>751</v>
      </c>
    </row>
    <row r="695" spans="1:2" ht="14.25" customHeight="1">
      <c r="A695" s="7">
        <v>61570415</v>
      </c>
      <c r="B695" s="8" t="s">
        <v>751</v>
      </c>
    </row>
    <row r="696" spans="1:2" ht="14.25" customHeight="1">
      <c r="A696" s="7">
        <v>61570417</v>
      </c>
      <c r="B696" s="8" t="s">
        <v>751</v>
      </c>
    </row>
    <row r="697" spans="1:2" ht="14.25" customHeight="1">
      <c r="A697" s="7">
        <v>61570431</v>
      </c>
      <c r="B697" s="8" t="s">
        <v>751</v>
      </c>
    </row>
    <row r="698" spans="1:2" ht="14.25" customHeight="1">
      <c r="A698" s="7">
        <v>61570617</v>
      </c>
      <c r="B698" s="8" t="s">
        <v>751</v>
      </c>
    </row>
    <row r="699" spans="1:2" ht="14.25" customHeight="1">
      <c r="A699" s="7">
        <v>61570618</v>
      </c>
      <c r="B699" s="8" t="s">
        <v>751</v>
      </c>
    </row>
    <row r="700" spans="1:2" ht="14.25" customHeight="1">
      <c r="A700" s="7">
        <v>61570632</v>
      </c>
      <c r="B700" s="8" t="s">
        <v>751</v>
      </c>
    </row>
    <row r="701" spans="1:2" ht="14.25" customHeight="1">
      <c r="A701" s="7">
        <v>17320827</v>
      </c>
      <c r="B701" s="8" t="s">
        <v>752</v>
      </c>
    </row>
    <row r="702" spans="1:2" ht="14.25" customHeight="1">
      <c r="A702" s="7">
        <v>1731403</v>
      </c>
      <c r="B702" s="8" t="s">
        <v>753</v>
      </c>
    </row>
    <row r="703" spans="1:2" ht="14.25" customHeight="1">
      <c r="A703" s="7">
        <v>17320815</v>
      </c>
      <c r="B703" s="8" t="s">
        <v>754</v>
      </c>
    </row>
    <row r="704" spans="1:2" ht="14.25" customHeight="1">
      <c r="A704" s="7">
        <v>1732616</v>
      </c>
      <c r="B704" s="8" t="s">
        <v>755</v>
      </c>
    </row>
    <row r="705" spans="1:2" ht="14.25" customHeight="1">
      <c r="A705" s="7">
        <v>81521197</v>
      </c>
      <c r="B705" s="8" t="s">
        <v>756</v>
      </c>
    </row>
    <row r="706" spans="1:2" ht="14.25" customHeight="1">
      <c r="A706" s="7">
        <v>5173115</v>
      </c>
      <c r="B706" s="8" t="s">
        <v>757</v>
      </c>
    </row>
    <row r="707" spans="1:2" ht="14.25" customHeight="1">
      <c r="A707" s="7">
        <v>5173116</v>
      </c>
      <c r="B707" s="8" t="s">
        <v>757</v>
      </c>
    </row>
    <row r="708" spans="1:2" ht="14.25" customHeight="1">
      <c r="A708" s="7">
        <v>5173117</v>
      </c>
      <c r="B708" s="8" t="s">
        <v>757</v>
      </c>
    </row>
    <row r="709" spans="1:2" ht="14.25" customHeight="1">
      <c r="A709" s="7">
        <v>5173118</v>
      </c>
      <c r="B709" s="8" t="s">
        <v>757</v>
      </c>
    </row>
    <row r="710" spans="1:2" ht="14.25" customHeight="1">
      <c r="A710" s="7">
        <v>5173119</v>
      </c>
      <c r="B710" s="8" t="s">
        <v>757</v>
      </c>
    </row>
    <row r="711" spans="1:2" ht="14.25" customHeight="1">
      <c r="A711" s="7">
        <v>5173120</v>
      </c>
      <c r="B711" s="8" t="s">
        <v>757</v>
      </c>
    </row>
    <row r="712" spans="1:2" ht="14.25" customHeight="1">
      <c r="A712" s="7">
        <v>5173121</v>
      </c>
      <c r="B712" s="8" t="s">
        <v>757</v>
      </c>
    </row>
    <row r="713" spans="1:2" ht="14.25" customHeight="1">
      <c r="A713" s="7">
        <v>51521002</v>
      </c>
      <c r="B713" s="8" t="s">
        <v>758</v>
      </c>
    </row>
    <row r="714" spans="1:2" ht="14.25" customHeight="1">
      <c r="A714" s="7">
        <v>51521043</v>
      </c>
      <c r="B714" s="8" t="s">
        <v>758</v>
      </c>
    </row>
    <row r="715" spans="1:2" ht="14.25" customHeight="1">
      <c r="A715" s="7">
        <v>51521044</v>
      </c>
      <c r="B715" s="8" t="s">
        <v>758</v>
      </c>
    </row>
    <row r="716" spans="1:2" ht="14.25" customHeight="1">
      <c r="A716" s="7">
        <v>51521045</v>
      </c>
      <c r="B716" s="8" t="s">
        <v>758</v>
      </c>
    </row>
    <row r="717" spans="1:2" ht="14.25" customHeight="1">
      <c r="A717" s="7">
        <v>51521047</v>
      </c>
      <c r="B717" s="8" t="s">
        <v>758</v>
      </c>
    </row>
    <row r="718" spans="1:2" ht="14.25" customHeight="1">
      <c r="A718" s="7">
        <v>51521048</v>
      </c>
      <c r="B718" s="8" t="s">
        <v>758</v>
      </c>
    </row>
    <row r="719" spans="1:2" ht="14.25" customHeight="1">
      <c r="A719" s="7">
        <v>51521049</v>
      </c>
      <c r="B719" s="8" t="s">
        <v>758</v>
      </c>
    </row>
    <row r="720" spans="1:2" ht="14.25" customHeight="1">
      <c r="A720" s="7">
        <v>51521050</v>
      </c>
      <c r="B720" s="8" t="s">
        <v>758</v>
      </c>
    </row>
    <row r="721" spans="1:2" ht="14.25" customHeight="1">
      <c r="A721" s="7">
        <v>51521051</v>
      </c>
      <c r="B721" s="8" t="s">
        <v>758</v>
      </c>
    </row>
    <row r="722" spans="1:2" ht="14.25" customHeight="1">
      <c r="A722" s="7">
        <v>51521052</v>
      </c>
      <c r="B722" s="8" t="s">
        <v>758</v>
      </c>
    </row>
    <row r="723" spans="1:2" ht="14.25" customHeight="1">
      <c r="A723" s="7">
        <v>51521053</v>
      </c>
      <c r="B723" s="8" t="s">
        <v>758</v>
      </c>
    </row>
    <row r="724" spans="1:2" ht="14.25" customHeight="1">
      <c r="A724" s="7">
        <v>51521054</v>
      </c>
      <c r="B724" s="8" t="s">
        <v>758</v>
      </c>
    </row>
    <row r="725" spans="1:2" ht="14.25" customHeight="1">
      <c r="A725" s="7">
        <v>51521055</v>
      </c>
      <c r="B725" s="8" t="s">
        <v>758</v>
      </c>
    </row>
    <row r="726" spans="1:2" ht="14.25" customHeight="1">
      <c r="A726" s="7">
        <v>51521056</v>
      </c>
      <c r="B726" s="8" t="s">
        <v>758</v>
      </c>
    </row>
    <row r="727" spans="1:2" ht="14.25" customHeight="1">
      <c r="A727" s="7">
        <v>51521057</v>
      </c>
      <c r="B727" s="8" t="s">
        <v>758</v>
      </c>
    </row>
    <row r="728" spans="1:2" ht="14.25" customHeight="1">
      <c r="A728" s="7">
        <v>51521058</v>
      </c>
      <c r="B728" s="8" t="s">
        <v>758</v>
      </c>
    </row>
    <row r="729" spans="1:2" ht="14.25" customHeight="1">
      <c r="A729" s="7">
        <v>51521059</v>
      </c>
      <c r="B729" s="8" t="s">
        <v>758</v>
      </c>
    </row>
    <row r="730" spans="1:2" ht="14.25" customHeight="1">
      <c r="A730" s="7">
        <v>51521060</v>
      </c>
      <c r="B730" s="8" t="s">
        <v>758</v>
      </c>
    </row>
    <row r="731" spans="1:2" ht="14.25" customHeight="1">
      <c r="A731" s="7">
        <v>51521061</v>
      </c>
      <c r="B731" s="8" t="s">
        <v>758</v>
      </c>
    </row>
    <row r="732" spans="1:2" ht="14.25" customHeight="1">
      <c r="A732" s="7">
        <v>51521062</v>
      </c>
      <c r="B732" s="8" t="s">
        <v>758</v>
      </c>
    </row>
    <row r="733" spans="1:2" ht="14.25" customHeight="1">
      <c r="A733" s="7">
        <v>51521063</v>
      </c>
      <c r="B733" s="8" t="s">
        <v>758</v>
      </c>
    </row>
    <row r="734" spans="1:2" ht="14.25" customHeight="1">
      <c r="A734" s="7">
        <v>51521064</v>
      </c>
      <c r="B734" s="8" t="s">
        <v>758</v>
      </c>
    </row>
    <row r="735" spans="1:2" ht="14.25" customHeight="1">
      <c r="A735" s="7">
        <v>51521065</v>
      </c>
      <c r="B735" s="8" t="s">
        <v>758</v>
      </c>
    </row>
    <row r="736" spans="1:2" ht="14.25" customHeight="1">
      <c r="A736" s="7">
        <v>51521066</v>
      </c>
      <c r="B736" s="8" t="s">
        <v>758</v>
      </c>
    </row>
    <row r="737" spans="1:2" ht="14.25" customHeight="1">
      <c r="A737" s="7">
        <v>51521067</v>
      </c>
      <c r="B737" s="8" t="s">
        <v>758</v>
      </c>
    </row>
    <row r="738" spans="1:2" ht="14.25" customHeight="1">
      <c r="A738" s="7">
        <v>51521068</v>
      </c>
      <c r="B738" s="8" t="s">
        <v>758</v>
      </c>
    </row>
    <row r="739" spans="1:2" ht="14.25" customHeight="1">
      <c r="A739" s="7">
        <v>51521069</v>
      </c>
      <c r="B739" s="8" t="s">
        <v>758</v>
      </c>
    </row>
    <row r="740" spans="1:2" ht="14.25" customHeight="1">
      <c r="A740" s="7">
        <v>51521070</v>
      </c>
      <c r="B740" s="8" t="s">
        <v>758</v>
      </c>
    </row>
    <row r="741" spans="1:2" ht="14.25" customHeight="1">
      <c r="A741" s="7">
        <v>51521071</v>
      </c>
      <c r="B741" s="8" t="s">
        <v>758</v>
      </c>
    </row>
    <row r="742" spans="1:2" ht="14.25" customHeight="1">
      <c r="A742" s="7">
        <v>51521072</v>
      </c>
      <c r="B742" s="8" t="s">
        <v>758</v>
      </c>
    </row>
    <row r="743" spans="1:2" ht="14.25" customHeight="1">
      <c r="A743" s="7">
        <v>23220004</v>
      </c>
      <c r="B743" s="8" t="s">
        <v>759</v>
      </c>
    </row>
    <row r="744" spans="1:2" ht="14.25" customHeight="1">
      <c r="A744" s="7">
        <v>43220001</v>
      </c>
      <c r="B744" s="8" t="s">
        <v>759</v>
      </c>
    </row>
    <row r="745" spans="1:2" ht="14.25" customHeight="1">
      <c r="A745" s="7">
        <v>51521073</v>
      </c>
      <c r="B745" s="8" t="s">
        <v>760</v>
      </c>
    </row>
    <row r="746" spans="1:2" ht="14.25" customHeight="1">
      <c r="A746" s="7">
        <v>51521074</v>
      </c>
      <c r="B746" s="8" t="s">
        <v>760</v>
      </c>
    </row>
    <row r="747" spans="1:2" ht="14.25" customHeight="1">
      <c r="A747" s="7">
        <v>51521075</v>
      </c>
      <c r="B747" s="8" t="s">
        <v>760</v>
      </c>
    </row>
    <row r="748" spans="1:2" ht="14.25" customHeight="1">
      <c r="A748" s="7">
        <v>51521076</v>
      </c>
      <c r="B748" s="8" t="s">
        <v>760</v>
      </c>
    </row>
    <row r="749" spans="1:2" ht="14.25" customHeight="1">
      <c r="A749" s="7">
        <v>51521077</v>
      </c>
      <c r="B749" s="8" t="s">
        <v>760</v>
      </c>
    </row>
    <row r="750" spans="1:2" ht="14.25" customHeight="1">
      <c r="A750" s="7">
        <v>51521078</v>
      </c>
      <c r="B750" s="8" t="s">
        <v>760</v>
      </c>
    </row>
    <row r="751" spans="1:2" ht="14.25" customHeight="1">
      <c r="A751" s="7">
        <v>51519046</v>
      </c>
      <c r="B751" s="8" t="s">
        <v>761</v>
      </c>
    </row>
    <row r="752" spans="1:2" ht="14.25" customHeight="1">
      <c r="A752" s="7">
        <v>51519047</v>
      </c>
      <c r="B752" s="8" t="s">
        <v>761</v>
      </c>
    </row>
    <row r="753" spans="1:2" ht="14.25" customHeight="1">
      <c r="A753" s="7">
        <v>51521003</v>
      </c>
      <c r="B753" s="8" t="s">
        <v>762</v>
      </c>
    </row>
    <row r="754" spans="1:2" ht="14.25" customHeight="1">
      <c r="A754" s="7">
        <v>51521012</v>
      </c>
      <c r="B754" s="8" t="s">
        <v>762</v>
      </c>
    </row>
    <row r="755" spans="1:2" ht="14.25" customHeight="1">
      <c r="A755" s="7">
        <v>51521014</v>
      </c>
      <c r="B755" s="8" t="s">
        <v>762</v>
      </c>
    </row>
    <row r="756" spans="1:2" ht="14.25" customHeight="1">
      <c r="A756" s="7">
        <v>51521015</v>
      </c>
      <c r="B756" s="8" t="s">
        <v>762</v>
      </c>
    </row>
    <row r="757" spans="1:2" ht="14.25" customHeight="1">
      <c r="A757" s="7">
        <v>51521018</v>
      </c>
      <c r="B757" s="8" t="s">
        <v>762</v>
      </c>
    </row>
    <row r="758" spans="1:2" ht="14.25" customHeight="1">
      <c r="A758" s="7">
        <v>51521019</v>
      </c>
      <c r="B758" s="8" t="s">
        <v>762</v>
      </c>
    </row>
    <row r="759" spans="1:2" ht="14.25" customHeight="1">
      <c r="A759" s="7">
        <v>51521020</v>
      </c>
      <c r="B759" s="8" t="s">
        <v>762</v>
      </c>
    </row>
    <row r="760" spans="1:2" ht="14.25" customHeight="1">
      <c r="A760" s="7">
        <v>51521021</v>
      </c>
      <c r="B760" s="8" t="s">
        <v>762</v>
      </c>
    </row>
    <row r="761" spans="1:2" ht="14.25" customHeight="1">
      <c r="A761" s="7">
        <v>51521022</v>
      </c>
      <c r="B761" s="8" t="s">
        <v>762</v>
      </c>
    </row>
    <row r="762" spans="1:2" ht="14.25" customHeight="1">
      <c r="A762" s="7">
        <v>51521023</v>
      </c>
      <c r="B762" s="8" t="s">
        <v>762</v>
      </c>
    </row>
    <row r="763" spans="1:2" ht="14.25" customHeight="1">
      <c r="A763" s="7">
        <v>51521024</v>
      </c>
      <c r="B763" s="8" t="s">
        <v>762</v>
      </c>
    </row>
    <row r="764" spans="1:2" ht="14.25" customHeight="1">
      <c r="A764" s="7">
        <v>51521025</v>
      </c>
      <c r="B764" s="8" t="s">
        <v>762</v>
      </c>
    </row>
    <row r="765" spans="1:2" ht="14.25" customHeight="1">
      <c r="A765" s="7">
        <v>51521026</v>
      </c>
      <c r="B765" s="8" t="s">
        <v>762</v>
      </c>
    </row>
    <row r="766" spans="1:2" ht="14.25" customHeight="1">
      <c r="A766" s="7">
        <v>51521027</v>
      </c>
      <c r="B766" s="8" t="s">
        <v>762</v>
      </c>
    </row>
    <row r="767" spans="1:2" ht="14.25" customHeight="1">
      <c r="A767" s="7">
        <v>51521028</v>
      </c>
      <c r="B767" s="8" t="s">
        <v>762</v>
      </c>
    </row>
    <row r="768" spans="1:2" ht="14.25" customHeight="1">
      <c r="A768" s="7">
        <v>51521029</v>
      </c>
      <c r="B768" s="8" t="s">
        <v>762</v>
      </c>
    </row>
    <row r="769" spans="1:2" ht="14.25" customHeight="1">
      <c r="A769" s="7">
        <v>51521030</v>
      </c>
      <c r="B769" s="8" t="s">
        <v>762</v>
      </c>
    </row>
    <row r="770" spans="1:2" ht="14.25" customHeight="1">
      <c r="A770" s="7">
        <v>51521031</v>
      </c>
      <c r="B770" s="8" t="s">
        <v>762</v>
      </c>
    </row>
    <row r="771" spans="1:2" ht="14.25" customHeight="1">
      <c r="A771" s="7">
        <v>51521032</v>
      </c>
      <c r="B771" s="8" t="s">
        <v>762</v>
      </c>
    </row>
    <row r="772" spans="1:2" ht="14.25" customHeight="1">
      <c r="A772" s="7">
        <v>51521033</v>
      </c>
      <c r="B772" s="8" t="s">
        <v>762</v>
      </c>
    </row>
    <row r="773" spans="1:2" ht="14.25" customHeight="1">
      <c r="A773" s="7">
        <v>51521039</v>
      </c>
      <c r="B773" s="8" t="s">
        <v>762</v>
      </c>
    </row>
    <row r="774" spans="1:2" ht="14.25" customHeight="1">
      <c r="A774" s="7">
        <v>23180034</v>
      </c>
      <c r="B774" s="8" t="s">
        <v>763</v>
      </c>
    </row>
    <row r="775" spans="1:2" ht="14.25" customHeight="1">
      <c r="A775" s="7">
        <v>23180035</v>
      </c>
      <c r="B775" s="8" t="s">
        <v>763</v>
      </c>
    </row>
    <row r="776" spans="1:2" ht="14.25" customHeight="1">
      <c r="A776" s="7">
        <v>23180036</v>
      </c>
      <c r="B776" s="8" t="s">
        <v>763</v>
      </c>
    </row>
    <row r="777" spans="1:2" ht="14.25" customHeight="1">
      <c r="A777" s="7">
        <v>23180037</v>
      </c>
      <c r="B777" s="8" t="s">
        <v>763</v>
      </c>
    </row>
    <row r="778" spans="1:2" ht="14.25" customHeight="1">
      <c r="A778" s="7">
        <v>23180038</v>
      </c>
      <c r="B778" s="8" t="s">
        <v>763</v>
      </c>
    </row>
    <row r="779" spans="1:2" ht="14.25" customHeight="1">
      <c r="A779" s="7">
        <v>23180039</v>
      </c>
      <c r="B779" s="8" t="s">
        <v>763</v>
      </c>
    </row>
    <row r="780" spans="1:2" ht="14.25" customHeight="1">
      <c r="A780" s="7">
        <v>23180040</v>
      </c>
      <c r="B780" s="8" t="s">
        <v>763</v>
      </c>
    </row>
    <row r="781" spans="1:2" ht="14.25" customHeight="1">
      <c r="A781" s="7">
        <v>23180041</v>
      </c>
      <c r="B781" s="8" t="s">
        <v>763</v>
      </c>
    </row>
    <row r="782" spans="1:2" ht="14.25" customHeight="1">
      <c r="A782" s="7">
        <v>23180042</v>
      </c>
      <c r="B782" s="8" t="s">
        <v>763</v>
      </c>
    </row>
    <row r="783" spans="1:2" ht="14.25" customHeight="1">
      <c r="A783" s="7">
        <v>23180043</v>
      </c>
      <c r="B783" s="8" t="s">
        <v>763</v>
      </c>
    </row>
    <row r="784" spans="1:2" ht="14.25" customHeight="1">
      <c r="A784" s="7">
        <v>23180044</v>
      </c>
      <c r="B784" s="8" t="s">
        <v>763</v>
      </c>
    </row>
    <row r="785" spans="1:2" ht="14.25" customHeight="1">
      <c r="A785" s="7">
        <v>23180045</v>
      </c>
      <c r="B785" s="8" t="s">
        <v>763</v>
      </c>
    </row>
    <row r="786" spans="1:2" ht="14.25" customHeight="1">
      <c r="A786" s="7">
        <v>23180046</v>
      </c>
      <c r="B786" s="8" t="s">
        <v>763</v>
      </c>
    </row>
    <row r="787" spans="1:2" ht="14.25" customHeight="1">
      <c r="A787" s="7">
        <v>23180047</v>
      </c>
      <c r="B787" s="8" t="s">
        <v>763</v>
      </c>
    </row>
    <row r="788" spans="1:2" ht="14.25" customHeight="1">
      <c r="A788" s="7">
        <v>23180048</v>
      </c>
      <c r="B788" s="8" t="s">
        <v>763</v>
      </c>
    </row>
    <row r="789" spans="1:2" ht="14.25" customHeight="1">
      <c r="A789" s="7">
        <v>23180049</v>
      </c>
      <c r="B789" s="8" t="s">
        <v>763</v>
      </c>
    </row>
    <row r="790" spans="1:2" ht="14.25" customHeight="1">
      <c r="A790" s="7">
        <v>23180050</v>
      </c>
      <c r="B790" s="8" t="s">
        <v>763</v>
      </c>
    </row>
    <row r="791" spans="1:2" ht="14.25" customHeight="1">
      <c r="A791" s="7">
        <v>23180051</v>
      </c>
      <c r="B791" s="8" t="s">
        <v>763</v>
      </c>
    </row>
    <row r="792" spans="1:2" ht="14.25" customHeight="1">
      <c r="A792" s="7">
        <v>23180052</v>
      </c>
      <c r="B792" s="8" t="s">
        <v>763</v>
      </c>
    </row>
    <row r="793" spans="1:2" ht="14.25" customHeight="1">
      <c r="A793" s="7">
        <v>23180053</v>
      </c>
      <c r="B793" s="8" t="s">
        <v>763</v>
      </c>
    </row>
    <row r="794" spans="1:2" ht="14.25" customHeight="1">
      <c r="A794" s="7">
        <v>23180054</v>
      </c>
      <c r="B794" s="8" t="s">
        <v>763</v>
      </c>
    </row>
    <row r="795" spans="1:2" ht="14.25" customHeight="1">
      <c r="A795" s="7">
        <v>23180055</v>
      </c>
      <c r="B795" s="8" t="s">
        <v>763</v>
      </c>
    </row>
    <row r="796" spans="1:2" ht="14.25" customHeight="1">
      <c r="A796" s="7">
        <v>23180056</v>
      </c>
      <c r="B796" s="8" t="s">
        <v>763</v>
      </c>
    </row>
    <row r="797" spans="1:2" ht="14.25" customHeight="1">
      <c r="A797" s="7">
        <v>23180057</v>
      </c>
      <c r="B797" s="8" t="s">
        <v>763</v>
      </c>
    </row>
    <row r="798" spans="1:2" ht="14.25" customHeight="1">
      <c r="A798" s="7">
        <v>23180058</v>
      </c>
      <c r="B798" s="8" t="s">
        <v>763</v>
      </c>
    </row>
    <row r="799" spans="1:2" ht="14.25" customHeight="1">
      <c r="A799" s="7">
        <v>23180059</v>
      </c>
      <c r="B799" s="8" t="s">
        <v>763</v>
      </c>
    </row>
    <row r="800" spans="1:2" ht="14.25" customHeight="1">
      <c r="A800" s="7">
        <v>23180060</v>
      </c>
      <c r="B800" s="8" t="s">
        <v>763</v>
      </c>
    </row>
    <row r="801" spans="1:2" ht="14.25" customHeight="1">
      <c r="A801" s="7">
        <v>51519028</v>
      </c>
      <c r="B801" s="8" t="s">
        <v>764</v>
      </c>
    </row>
    <row r="802" spans="1:2" ht="14.25" customHeight="1">
      <c r="A802" s="7">
        <v>51519030</v>
      </c>
      <c r="B802" s="8" t="s">
        <v>764</v>
      </c>
    </row>
    <row r="803" spans="1:2" ht="14.25" customHeight="1">
      <c r="A803" s="7">
        <v>51519031</v>
      </c>
      <c r="B803" s="8" t="s">
        <v>764</v>
      </c>
    </row>
    <row r="804" spans="1:2" ht="14.25" customHeight="1">
      <c r="A804" s="7">
        <v>51519033</v>
      </c>
      <c r="B804" s="8" t="s">
        <v>764</v>
      </c>
    </row>
    <row r="805" spans="1:2" ht="14.25" customHeight="1">
      <c r="A805" s="7">
        <v>51519034</v>
      </c>
      <c r="B805" s="8" t="s">
        <v>764</v>
      </c>
    </row>
    <row r="806" spans="1:2" ht="14.25" customHeight="1">
      <c r="A806" s="7">
        <v>51519037</v>
      </c>
      <c r="B806" s="8" t="s">
        <v>764</v>
      </c>
    </row>
    <row r="807" spans="1:2" ht="14.25" customHeight="1">
      <c r="A807" s="7">
        <v>51521082</v>
      </c>
      <c r="B807" s="8" t="s">
        <v>764</v>
      </c>
    </row>
    <row r="808" spans="1:2" ht="14.25" customHeight="1">
      <c r="A808" s="7">
        <v>51521083</v>
      </c>
      <c r="B808" s="8" t="s">
        <v>764</v>
      </c>
    </row>
    <row r="809" spans="1:2" ht="14.25" customHeight="1">
      <c r="A809" s="7">
        <v>51521084</v>
      </c>
      <c r="B809" s="8" t="s">
        <v>764</v>
      </c>
    </row>
    <row r="810" spans="1:2" ht="14.25" customHeight="1">
      <c r="A810" s="7">
        <v>51521085</v>
      </c>
      <c r="B810" s="8" t="s">
        <v>764</v>
      </c>
    </row>
    <row r="811" spans="1:2" ht="14.25" customHeight="1">
      <c r="A811" s="7">
        <v>51521086</v>
      </c>
      <c r="B811" s="8" t="s">
        <v>764</v>
      </c>
    </row>
    <row r="812" spans="1:2" ht="14.25" customHeight="1">
      <c r="A812" s="7">
        <v>51521087</v>
      </c>
      <c r="B812" s="8" t="s">
        <v>764</v>
      </c>
    </row>
    <row r="813" spans="1:2" ht="14.25" customHeight="1">
      <c r="A813" s="7">
        <v>51521088</v>
      </c>
      <c r="B813" s="8" t="s">
        <v>764</v>
      </c>
    </row>
    <row r="814" spans="1:2" ht="14.25" customHeight="1">
      <c r="A814" s="7">
        <v>51521090</v>
      </c>
      <c r="B814" s="8" t="s">
        <v>764</v>
      </c>
    </row>
    <row r="815" spans="1:2" ht="14.25" customHeight="1">
      <c r="A815" s="7">
        <v>51521091</v>
      </c>
      <c r="B815" s="8" t="s">
        <v>764</v>
      </c>
    </row>
    <row r="816" spans="1:2" ht="14.25" customHeight="1">
      <c r="A816" s="7">
        <v>51521092</v>
      </c>
      <c r="B816" s="8" t="s">
        <v>764</v>
      </c>
    </row>
    <row r="817" spans="1:2" ht="14.25" customHeight="1">
      <c r="A817" s="7">
        <v>51521093</v>
      </c>
      <c r="B817" s="8" t="s">
        <v>764</v>
      </c>
    </row>
    <row r="818" spans="1:2" ht="14.25" customHeight="1">
      <c r="A818" s="7">
        <v>51521094</v>
      </c>
      <c r="B818" s="8" t="s">
        <v>764</v>
      </c>
    </row>
    <row r="819" spans="1:2" ht="14.25" customHeight="1">
      <c r="A819" s="7">
        <v>51521095</v>
      </c>
      <c r="B819" s="8" t="s">
        <v>764</v>
      </c>
    </row>
    <row r="820" spans="1:2" ht="14.25" customHeight="1">
      <c r="A820" s="7">
        <v>51521096</v>
      </c>
      <c r="B820" s="8" t="s">
        <v>764</v>
      </c>
    </row>
    <row r="821" spans="1:2" ht="14.25" customHeight="1">
      <c r="A821" s="7">
        <v>51521097</v>
      </c>
      <c r="B821" s="8" t="s">
        <v>764</v>
      </c>
    </row>
    <row r="822" spans="1:2" ht="14.25" customHeight="1">
      <c r="A822" s="7">
        <v>51521098</v>
      </c>
      <c r="B822" s="8" t="s">
        <v>764</v>
      </c>
    </row>
    <row r="823" spans="1:2" ht="14.25" customHeight="1">
      <c r="A823" s="7">
        <v>51521099</v>
      </c>
      <c r="B823" s="8" t="s">
        <v>764</v>
      </c>
    </row>
    <row r="824" spans="1:2" ht="14.25" customHeight="1">
      <c r="A824" s="7">
        <v>51521100</v>
      </c>
      <c r="B824" s="8" t="s">
        <v>764</v>
      </c>
    </row>
    <row r="825" spans="1:2" ht="14.25" customHeight="1">
      <c r="A825" s="7">
        <v>51521101</v>
      </c>
      <c r="B825" s="8" t="s">
        <v>764</v>
      </c>
    </row>
    <row r="826" spans="1:2" ht="14.25" customHeight="1">
      <c r="A826" s="7">
        <v>51521102</v>
      </c>
      <c r="B826" s="8" t="s">
        <v>764</v>
      </c>
    </row>
    <row r="827" spans="1:2" ht="14.25" customHeight="1">
      <c r="A827" s="7">
        <v>51521103</v>
      </c>
      <c r="B827" s="8" t="s">
        <v>764</v>
      </c>
    </row>
    <row r="828" spans="1:2" ht="14.25" customHeight="1">
      <c r="A828" s="7">
        <v>51521104</v>
      </c>
      <c r="B828" s="8" t="s">
        <v>764</v>
      </c>
    </row>
    <row r="829" spans="1:2" ht="14.25" customHeight="1">
      <c r="A829" s="7">
        <v>51521105</v>
      </c>
      <c r="B829" s="8" t="s">
        <v>764</v>
      </c>
    </row>
    <row r="830" spans="1:2" ht="14.25" customHeight="1">
      <c r="A830" s="7">
        <v>51521106</v>
      </c>
      <c r="B830" s="8" t="s">
        <v>764</v>
      </c>
    </row>
    <row r="831" spans="1:2" ht="14.25" customHeight="1">
      <c r="A831" s="7">
        <v>51521107</v>
      </c>
      <c r="B831" s="8" t="s">
        <v>764</v>
      </c>
    </row>
    <row r="832" spans="1:2" ht="14.25" customHeight="1">
      <c r="A832" s="7">
        <v>51521108</v>
      </c>
      <c r="B832" s="8" t="s">
        <v>764</v>
      </c>
    </row>
    <row r="833" spans="1:2" ht="14.25" customHeight="1">
      <c r="A833" s="7">
        <v>51521109</v>
      </c>
      <c r="B833" s="8" t="s">
        <v>764</v>
      </c>
    </row>
    <row r="834" spans="1:2" ht="14.25" customHeight="1">
      <c r="A834" s="7">
        <v>81521411</v>
      </c>
      <c r="B834" s="8" t="s">
        <v>765</v>
      </c>
    </row>
    <row r="835" spans="1:2" ht="14.25" customHeight="1">
      <c r="A835" s="7">
        <v>8173486</v>
      </c>
      <c r="B835" s="8" t="s">
        <v>766</v>
      </c>
    </row>
    <row r="836" spans="1:2" ht="14.25" customHeight="1">
      <c r="A836" s="7">
        <v>81521102</v>
      </c>
      <c r="B836" s="8" t="s">
        <v>767</v>
      </c>
    </row>
    <row r="837" spans="1:2" ht="14.25" customHeight="1">
      <c r="A837" s="7">
        <v>81524045</v>
      </c>
      <c r="B837" s="8" t="s">
        <v>768</v>
      </c>
    </row>
    <row r="838" spans="1:2" ht="14.25" customHeight="1">
      <c r="A838" s="7">
        <v>71521001</v>
      </c>
      <c r="B838" s="8" t="s">
        <v>769</v>
      </c>
    </row>
    <row r="839" spans="1:2" ht="14.25" customHeight="1">
      <c r="A839" s="7">
        <v>71521002</v>
      </c>
      <c r="B839" s="8" t="s">
        <v>769</v>
      </c>
    </row>
    <row r="840" spans="1:2" ht="14.25" customHeight="1">
      <c r="A840" s="7">
        <v>71521009</v>
      </c>
      <c r="B840" s="8" t="s">
        <v>770</v>
      </c>
    </row>
    <row r="841" spans="1:2" ht="14.25" customHeight="1">
      <c r="A841" s="7">
        <v>81521460</v>
      </c>
      <c r="B841" s="8" t="s">
        <v>771</v>
      </c>
    </row>
    <row r="842" spans="1:2" ht="14.25" customHeight="1">
      <c r="A842" s="7">
        <v>81521379</v>
      </c>
      <c r="B842" s="8" t="s">
        <v>772</v>
      </c>
    </row>
    <row r="843" spans="1:2" ht="14.25" customHeight="1">
      <c r="A843" s="7">
        <v>81521441</v>
      </c>
      <c r="B843" s="8" t="s">
        <v>772</v>
      </c>
    </row>
    <row r="844" spans="1:2" ht="14.25" customHeight="1">
      <c r="A844" s="7">
        <v>15510014</v>
      </c>
      <c r="B844" s="8" t="s">
        <v>773</v>
      </c>
    </row>
    <row r="845" spans="1:2" ht="14.25" customHeight="1">
      <c r="A845" s="7">
        <v>81521170</v>
      </c>
      <c r="B845" s="8" t="s">
        <v>774</v>
      </c>
    </row>
    <row r="846" spans="1:2" ht="14.25" customHeight="1">
      <c r="A846" s="7">
        <v>8173228</v>
      </c>
      <c r="B846" s="8" t="s">
        <v>775</v>
      </c>
    </row>
    <row r="847" spans="1:2" ht="14.25" customHeight="1">
      <c r="A847" s="7">
        <v>8173230</v>
      </c>
      <c r="B847" s="8" t="s">
        <v>775</v>
      </c>
    </row>
    <row r="848" spans="1:2" ht="14.25" customHeight="1">
      <c r="A848" s="7">
        <v>15110005</v>
      </c>
      <c r="B848" s="8" t="s">
        <v>776</v>
      </c>
    </row>
    <row r="849" spans="1:2" ht="14.25" customHeight="1">
      <c r="A849" s="7">
        <v>15110006</v>
      </c>
      <c r="B849" s="8" t="s">
        <v>776</v>
      </c>
    </row>
    <row r="850" spans="1:2" ht="14.25" customHeight="1">
      <c r="A850" s="7">
        <v>15110008</v>
      </c>
      <c r="B850" s="8" t="s">
        <v>776</v>
      </c>
    </row>
    <row r="851" spans="1:2" ht="14.25" customHeight="1">
      <c r="A851" s="7">
        <v>15110010</v>
      </c>
      <c r="B851" s="8" t="s">
        <v>776</v>
      </c>
    </row>
    <row r="852" spans="1:2" ht="14.25" customHeight="1">
      <c r="A852" s="7">
        <v>15110011</v>
      </c>
      <c r="B852" s="8" t="s">
        <v>776</v>
      </c>
    </row>
    <row r="853" spans="1:2" ht="14.25" customHeight="1">
      <c r="A853" s="7">
        <v>15110012</v>
      </c>
      <c r="B853" s="8" t="s">
        <v>776</v>
      </c>
    </row>
    <row r="854" spans="1:2" ht="14.25" customHeight="1">
      <c r="A854" s="7">
        <v>15110019</v>
      </c>
      <c r="B854" s="8" t="s">
        <v>776</v>
      </c>
    </row>
    <row r="855" spans="1:2" ht="14.25" customHeight="1">
      <c r="A855" s="7">
        <v>81521188</v>
      </c>
      <c r="B855" s="8" t="s">
        <v>777</v>
      </c>
    </row>
    <row r="856" spans="1:2" ht="14.25" customHeight="1">
      <c r="A856" s="7">
        <v>81521189</v>
      </c>
      <c r="B856" s="8" t="s">
        <v>777</v>
      </c>
    </row>
    <row r="857" spans="1:2" ht="14.25" customHeight="1">
      <c r="A857" s="7">
        <v>81521308</v>
      </c>
      <c r="B857" s="8" t="s">
        <v>777</v>
      </c>
    </row>
    <row r="858" spans="1:2" ht="14.25" customHeight="1">
      <c r="A858" s="7">
        <v>81521309</v>
      </c>
      <c r="B858" s="8" t="s">
        <v>777</v>
      </c>
    </row>
    <row r="859" spans="1:2" ht="14.25" customHeight="1">
      <c r="A859" s="7">
        <v>81521310</v>
      </c>
      <c r="B859" s="8" t="s">
        <v>777</v>
      </c>
    </row>
    <row r="860" spans="1:2" ht="14.25" customHeight="1">
      <c r="A860" s="7">
        <v>81521398</v>
      </c>
      <c r="B860" s="8" t="s">
        <v>777</v>
      </c>
    </row>
    <row r="861" spans="1:2" ht="14.25" customHeight="1">
      <c r="A861" s="7">
        <v>81521399</v>
      </c>
      <c r="B861" s="8" t="s">
        <v>777</v>
      </c>
    </row>
    <row r="862" spans="1:2" ht="14.25" customHeight="1">
      <c r="A862" s="7">
        <v>81521401</v>
      </c>
      <c r="B862" s="8" t="s">
        <v>777</v>
      </c>
    </row>
    <row r="863" spans="1:2" ht="14.25" customHeight="1">
      <c r="A863" s="7">
        <v>81521402</v>
      </c>
      <c r="B863" s="8" t="s">
        <v>777</v>
      </c>
    </row>
    <row r="864" spans="1:2" ht="14.25" customHeight="1">
      <c r="A864" s="7">
        <v>81521403</v>
      </c>
      <c r="B864" s="8" t="s">
        <v>777</v>
      </c>
    </row>
    <row r="865" spans="1:2" ht="14.25" customHeight="1">
      <c r="A865" s="7">
        <v>81521404</v>
      </c>
      <c r="B865" s="8" t="s">
        <v>777</v>
      </c>
    </row>
    <row r="866" spans="1:2" ht="14.25" customHeight="1">
      <c r="A866" s="7">
        <v>81521405</v>
      </c>
      <c r="B866" s="8" t="s">
        <v>777</v>
      </c>
    </row>
    <row r="867" spans="1:2" ht="14.25" customHeight="1">
      <c r="A867" s="7">
        <v>81521419</v>
      </c>
      <c r="B867" s="8" t="s">
        <v>777</v>
      </c>
    </row>
    <row r="868" spans="1:2" ht="14.25" customHeight="1">
      <c r="A868" s="7">
        <v>8173236</v>
      </c>
      <c r="B868" s="8" t="s">
        <v>778</v>
      </c>
    </row>
    <row r="869" spans="1:2" ht="14.25" customHeight="1">
      <c r="A869" s="7">
        <v>8173638</v>
      </c>
      <c r="B869" s="8" t="s">
        <v>779</v>
      </c>
    </row>
    <row r="870" spans="1:2" ht="14.25" customHeight="1">
      <c r="A870" s="7">
        <v>81521009</v>
      </c>
      <c r="B870" s="8" t="s">
        <v>779</v>
      </c>
    </row>
    <row r="871" spans="1:2" ht="14.25" customHeight="1">
      <c r="A871" s="7">
        <v>81521011</v>
      </c>
      <c r="B871" s="8" t="s">
        <v>779</v>
      </c>
    </row>
    <row r="872" spans="1:2" ht="14.25" customHeight="1">
      <c r="A872" s="7">
        <v>81521013</v>
      </c>
      <c r="B872" s="8" t="s">
        <v>779</v>
      </c>
    </row>
    <row r="873" spans="1:2" ht="14.25" customHeight="1">
      <c r="A873" s="7">
        <v>81521273</v>
      </c>
      <c r="B873" s="8" t="s">
        <v>779</v>
      </c>
    </row>
    <row r="874" spans="1:2" ht="14.25" customHeight="1">
      <c r="A874" s="7">
        <v>81521147</v>
      </c>
      <c r="B874" s="8" t="s">
        <v>780</v>
      </c>
    </row>
    <row r="875" spans="1:2" ht="14.25" customHeight="1">
      <c r="A875" s="7">
        <v>81521149</v>
      </c>
      <c r="B875" s="8" t="s">
        <v>780</v>
      </c>
    </row>
    <row r="876" spans="1:2" ht="14.25" customHeight="1">
      <c r="A876" s="7">
        <v>8173461</v>
      </c>
      <c r="B876" s="8" t="s">
        <v>781</v>
      </c>
    </row>
    <row r="877" spans="1:2" ht="14.25" customHeight="1">
      <c r="A877" s="7">
        <v>8173465</v>
      </c>
      <c r="B877" s="8" t="s">
        <v>781</v>
      </c>
    </row>
    <row r="878" spans="1:2" ht="14.25" customHeight="1">
      <c r="A878" s="7">
        <v>81521058</v>
      </c>
      <c r="B878" s="8" t="s">
        <v>781</v>
      </c>
    </row>
    <row r="879" spans="1:2" ht="14.25" customHeight="1">
      <c r="A879" s="7">
        <v>81521206</v>
      </c>
      <c r="B879" s="8" t="s">
        <v>781</v>
      </c>
    </row>
    <row r="880" spans="1:2" ht="14.25" customHeight="1">
      <c r="A880" s="7">
        <v>81521208</v>
      </c>
      <c r="B880" s="8" t="s">
        <v>781</v>
      </c>
    </row>
    <row r="881" spans="1:2" ht="14.25" customHeight="1">
      <c r="A881" s="7">
        <v>8173569</v>
      </c>
      <c r="B881" s="8" t="s">
        <v>782</v>
      </c>
    </row>
    <row r="882" spans="1:2" ht="14.25" customHeight="1">
      <c r="A882" s="7">
        <v>81521077</v>
      </c>
      <c r="B882" s="8" t="s">
        <v>783</v>
      </c>
    </row>
    <row r="883" spans="1:2" ht="14.25" customHeight="1">
      <c r="A883" s="7">
        <v>61521013</v>
      </c>
      <c r="B883" s="8" t="s">
        <v>784</v>
      </c>
    </row>
    <row r="884" spans="1:2" ht="14.25" customHeight="1">
      <c r="A884" s="7">
        <v>61521015</v>
      </c>
      <c r="B884" s="8" t="s">
        <v>784</v>
      </c>
    </row>
    <row r="885" spans="1:2" ht="14.25" customHeight="1">
      <c r="A885" s="7">
        <v>61521035</v>
      </c>
      <c r="B885" s="8" t="s">
        <v>784</v>
      </c>
    </row>
    <row r="886" spans="1:2" ht="14.25" customHeight="1">
      <c r="A886" s="7">
        <v>23120022</v>
      </c>
      <c r="B886" s="8" t="s">
        <v>785</v>
      </c>
    </row>
    <row r="887" spans="1:2" ht="14.25" customHeight="1">
      <c r="A887" s="7">
        <v>23120023</v>
      </c>
      <c r="B887" s="8" t="s">
        <v>785</v>
      </c>
    </row>
    <row r="888" spans="1:2" ht="14.25" customHeight="1">
      <c r="A888" s="7">
        <v>23120024</v>
      </c>
      <c r="B888" s="8" t="s">
        <v>785</v>
      </c>
    </row>
    <row r="889" spans="1:2" ht="14.25" customHeight="1">
      <c r="A889" s="7">
        <v>23120025</v>
      </c>
      <c r="B889" s="8" t="s">
        <v>785</v>
      </c>
    </row>
    <row r="890" spans="1:2" ht="14.25" customHeight="1">
      <c r="A890" s="7">
        <v>23120002</v>
      </c>
      <c r="B890" s="8" t="s">
        <v>786</v>
      </c>
    </row>
    <row r="891" spans="1:2" ht="14.25" customHeight="1">
      <c r="A891" s="7">
        <v>23120003</v>
      </c>
      <c r="B891" s="8" t="s">
        <v>786</v>
      </c>
    </row>
    <row r="892" spans="1:2" ht="14.25" customHeight="1">
      <c r="A892" s="7">
        <v>23120004</v>
      </c>
      <c r="B892" s="8" t="s">
        <v>786</v>
      </c>
    </row>
    <row r="893" spans="1:2" ht="14.25" customHeight="1">
      <c r="A893" s="7">
        <v>23120005</v>
      </c>
      <c r="B893" s="8" t="s">
        <v>786</v>
      </c>
    </row>
    <row r="894" spans="1:2" ht="14.25" customHeight="1">
      <c r="A894" s="7">
        <v>23120006</v>
      </c>
      <c r="B894" s="8" t="s">
        <v>786</v>
      </c>
    </row>
    <row r="895" spans="1:2" ht="14.25" customHeight="1">
      <c r="A895" s="7">
        <v>23120007</v>
      </c>
      <c r="B895" s="8" t="s">
        <v>786</v>
      </c>
    </row>
    <row r="896" spans="1:2" ht="14.25" customHeight="1">
      <c r="A896" s="7">
        <v>23120008</v>
      </c>
      <c r="B896" s="8" t="s">
        <v>786</v>
      </c>
    </row>
    <row r="897" spans="1:2" ht="14.25" customHeight="1">
      <c r="A897" s="7">
        <v>23120009</v>
      </c>
      <c r="B897" s="8" t="s">
        <v>786</v>
      </c>
    </row>
    <row r="898" spans="1:2" ht="14.25" customHeight="1">
      <c r="A898" s="7">
        <v>23120010</v>
      </c>
      <c r="B898" s="8" t="s">
        <v>786</v>
      </c>
    </row>
    <row r="899" spans="1:2" ht="14.25" customHeight="1">
      <c r="A899" s="7">
        <v>23120011</v>
      </c>
      <c r="B899" s="8" t="s">
        <v>786</v>
      </c>
    </row>
    <row r="900" spans="1:2" ht="14.25" customHeight="1">
      <c r="A900" s="7">
        <v>23120012</v>
      </c>
      <c r="B900" s="8" t="s">
        <v>786</v>
      </c>
    </row>
    <row r="901" spans="1:2" ht="14.25" customHeight="1">
      <c r="A901" s="7">
        <v>23120013</v>
      </c>
      <c r="B901" s="8" t="s">
        <v>786</v>
      </c>
    </row>
    <row r="902" spans="1:2" ht="14.25" customHeight="1">
      <c r="A902" s="7">
        <v>23120014</v>
      </c>
      <c r="B902" s="8" t="s">
        <v>786</v>
      </c>
    </row>
    <row r="903" spans="1:2" ht="14.25" customHeight="1">
      <c r="A903" s="7">
        <v>23120015</v>
      </c>
      <c r="B903" s="8" t="s">
        <v>786</v>
      </c>
    </row>
    <row r="904" spans="1:2" ht="14.25" customHeight="1">
      <c r="A904" s="7">
        <v>23120016</v>
      </c>
      <c r="B904" s="8" t="s">
        <v>786</v>
      </c>
    </row>
    <row r="905" spans="1:2" ht="14.25" customHeight="1">
      <c r="A905" s="7">
        <v>23120017</v>
      </c>
      <c r="B905" s="8" t="s">
        <v>786</v>
      </c>
    </row>
    <row r="906" spans="1:2" ht="14.25" customHeight="1">
      <c r="A906" s="7">
        <v>23120018</v>
      </c>
      <c r="B906" s="8" t="s">
        <v>786</v>
      </c>
    </row>
    <row r="907" spans="1:2" ht="14.25" customHeight="1">
      <c r="A907" s="7">
        <v>23120019</v>
      </c>
      <c r="B907" s="8" t="s">
        <v>786</v>
      </c>
    </row>
    <row r="908" spans="1:2" ht="14.25" customHeight="1">
      <c r="A908" s="7">
        <v>23120020</v>
      </c>
      <c r="B908" s="8" t="s">
        <v>786</v>
      </c>
    </row>
    <row r="909" spans="1:2" ht="14.25" customHeight="1">
      <c r="A909" s="7">
        <v>23120021</v>
      </c>
      <c r="B909" s="8" t="s">
        <v>786</v>
      </c>
    </row>
    <row r="910" spans="1:2" ht="14.25" customHeight="1">
      <c r="A910" s="7">
        <v>61521093</v>
      </c>
      <c r="B910" s="8" t="s">
        <v>786</v>
      </c>
    </row>
    <row r="911" spans="1:2" ht="14.25" customHeight="1">
      <c r="A911" s="7">
        <v>61521094</v>
      </c>
      <c r="B911" s="8" t="s">
        <v>786</v>
      </c>
    </row>
    <row r="912" spans="1:2" ht="14.25" customHeight="1">
      <c r="A912" s="7">
        <v>61521095</v>
      </c>
      <c r="B912" s="8" t="s">
        <v>786</v>
      </c>
    </row>
    <row r="913" spans="1:2" ht="14.25" customHeight="1">
      <c r="A913" s="7">
        <v>61521096</v>
      </c>
      <c r="B913" s="8" t="s">
        <v>786</v>
      </c>
    </row>
    <row r="914" spans="1:2" ht="14.25" customHeight="1">
      <c r="A914" s="7">
        <v>61521097</v>
      </c>
      <c r="B914" s="8" t="s">
        <v>786</v>
      </c>
    </row>
    <row r="915" spans="1:2" ht="14.25" customHeight="1">
      <c r="A915" s="7">
        <v>61521098</v>
      </c>
      <c r="B915" s="8" t="s">
        <v>786</v>
      </c>
    </row>
    <row r="916" spans="1:2" ht="14.25" customHeight="1">
      <c r="A916" s="7">
        <v>61521099</v>
      </c>
      <c r="B916" s="8" t="s">
        <v>786</v>
      </c>
    </row>
    <row r="917" spans="1:2" ht="14.25" customHeight="1">
      <c r="A917" s="7">
        <v>6173075</v>
      </c>
      <c r="B917" s="8" t="s">
        <v>787</v>
      </c>
    </row>
    <row r="918" spans="1:2" ht="14.25" customHeight="1">
      <c r="A918" s="7">
        <v>61521016</v>
      </c>
      <c r="B918" s="8" t="s">
        <v>788</v>
      </c>
    </row>
    <row r="919" spans="1:2" ht="14.25" customHeight="1">
      <c r="A919" s="7">
        <v>1732034</v>
      </c>
      <c r="B919" s="8" t="s">
        <v>789</v>
      </c>
    </row>
    <row r="920" spans="1:2" ht="14.25" customHeight="1">
      <c r="A920" s="7">
        <v>43030001</v>
      </c>
      <c r="B920" s="8" t="s">
        <v>790</v>
      </c>
    </row>
    <row r="921" spans="1:2" ht="14.25" customHeight="1">
      <c r="A921" s="7">
        <v>17320778</v>
      </c>
      <c r="B921" s="8" t="s">
        <v>791</v>
      </c>
    </row>
    <row r="922" spans="1:2" ht="14.25" customHeight="1">
      <c r="A922" s="7">
        <v>17320779</v>
      </c>
      <c r="B922" s="8" t="s">
        <v>792</v>
      </c>
    </row>
    <row r="923" spans="1:2" ht="14.25" customHeight="1">
      <c r="A923" s="7">
        <v>17320776</v>
      </c>
      <c r="B923" s="8" t="s">
        <v>793</v>
      </c>
    </row>
    <row r="924" spans="1:2" ht="14.25" customHeight="1">
      <c r="A924" s="7">
        <v>17320768</v>
      </c>
      <c r="B924" s="8" t="s">
        <v>794</v>
      </c>
    </row>
    <row r="925" spans="1:2" ht="14.25" customHeight="1">
      <c r="A925" s="7">
        <v>17320775</v>
      </c>
      <c r="B925" s="8" t="s">
        <v>795</v>
      </c>
    </row>
    <row r="926" spans="1:2" ht="14.25" customHeight="1">
      <c r="A926" s="7">
        <v>17320773</v>
      </c>
      <c r="B926" s="8" t="s">
        <v>796</v>
      </c>
    </row>
    <row r="927" spans="1:2" ht="14.25" customHeight="1">
      <c r="A927" s="7">
        <v>90189335</v>
      </c>
      <c r="B927" s="8" t="s">
        <v>797</v>
      </c>
    </row>
    <row r="928" spans="1:2" ht="14.25" customHeight="1">
      <c r="A928" s="7">
        <v>90189310</v>
      </c>
      <c r="B928" s="8" t="s">
        <v>798</v>
      </c>
    </row>
    <row r="929" spans="1:2" ht="14.25" customHeight="1">
      <c r="A929" s="7">
        <v>17320780</v>
      </c>
      <c r="B929" s="8" t="s">
        <v>799</v>
      </c>
    </row>
    <row r="930" spans="1:2" ht="14.25" customHeight="1">
      <c r="A930" s="7">
        <v>17320777</v>
      </c>
      <c r="B930" s="8" t="s">
        <v>800</v>
      </c>
    </row>
    <row r="931" spans="1:2" ht="14.25" customHeight="1">
      <c r="A931" s="7">
        <v>17320772</v>
      </c>
      <c r="B931" s="8" t="s">
        <v>801</v>
      </c>
    </row>
    <row r="932" spans="1:2" ht="14.25" customHeight="1">
      <c r="A932" s="7">
        <v>17320756</v>
      </c>
      <c r="B932" s="8" t="s">
        <v>802</v>
      </c>
    </row>
    <row r="933" spans="1:2" ht="14.25" customHeight="1">
      <c r="A933" s="7">
        <v>17320774</v>
      </c>
      <c r="B933" s="8" t="s">
        <v>803</v>
      </c>
    </row>
    <row r="934" spans="1:2" ht="14.25" customHeight="1">
      <c r="A934" s="7">
        <v>17320782</v>
      </c>
      <c r="B934" s="8" t="s">
        <v>804</v>
      </c>
    </row>
    <row r="935" spans="1:2" ht="14.25" customHeight="1">
      <c r="A935" s="7">
        <v>17320754</v>
      </c>
      <c r="B935" s="8" t="s">
        <v>805</v>
      </c>
    </row>
    <row r="936" spans="1:2" ht="14.25" customHeight="1">
      <c r="A936" s="7">
        <v>1732366</v>
      </c>
      <c r="B936" s="8" t="s">
        <v>806</v>
      </c>
    </row>
    <row r="937" spans="1:2" ht="14.25" customHeight="1">
      <c r="A937" s="7">
        <v>1732474</v>
      </c>
      <c r="B937" s="8" t="s">
        <v>806</v>
      </c>
    </row>
    <row r="938" spans="1:2" ht="14.25" customHeight="1">
      <c r="A938" s="7">
        <v>1732425</v>
      </c>
      <c r="B938" s="8" t="s">
        <v>807</v>
      </c>
    </row>
    <row r="939" spans="1:2" ht="14.25" customHeight="1">
      <c r="A939" s="7">
        <v>21524001</v>
      </c>
      <c r="B939" s="8" t="s">
        <v>807</v>
      </c>
    </row>
    <row r="940" spans="1:2" ht="14.25" customHeight="1">
      <c r="A940" s="7">
        <v>45005038</v>
      </c>
      <c r="B940" s="8" t="s">
        <v>808</v>
      </c>
    </row>
    <row r="941" spans="1:2" ht="14.25" customHeight="1">
      <c r="A941" s="7">
        <v>1732363</v>
      </c>
      <c r="B941" s="8" t="s">
        <v>809</v>
      </c>
    </row>
    <row r="942" spans="1:2" ht="14.25" customHeight="1">
      <c r="A942" s="7">
        <v>45014033</v>
      </c>
      <c r="B942" s="8" t="s">
        <v>810</v>
      </c>
    </row>
    <row r="943" spans="1:2" ht="14.25" customHeight="1">
      <c r="A943" s="7">
        <v>81521423</v>
      </c>
      <c r="B943" s="8" t="s">
        <v>613</v>
      </c>
    </row>
    <row r="944" spans="1:2" ht="14.25" customHeight="1">
      <c r="A944" s="7">
        <v>81521450</v>
      </c>
      <c r="B944" s="8" t="s">
        <v>613</v>
      </c>
    </row>
    <row r="945" spans="1:2" ht="14.25" customHeight="1">
      <c r="A945" s="7">
        <v>81521492</v>
      </c>
      <c r="B945" s="8" t="s">
        <v>613</v>
      </c>
    </row>
    <row r="946" spans="1:2" ht="14.25" customHeight="1">
      <c r="A946" s="7">
        <v>81521439</v>
      </c>
      <c r="B946" s="8" t="s">
        <v>811</v>
      </c>
    </row>
    <row r="947" spans="1:2" ht="14.25" customHeight="1">
      <c r="A947" s="7">
        <v>1731111</v>
      </c>
      <c r="B947" s="8" t="s">
        <v>812</v>
      </c>
    </row>
    <row r="948" spans="1:2" ht="14.25" customHeight="1">
      <c r="A948" s="7">
        <v>8173248</v>
      </c>
      <c r="B948" s="8" t="s">
        <v>813</v>
      </c>
    </row>
    <row r="949" spans="1:2" ht="14.25" customHeight="1">
      <c r="A949" s="7">
        <v>8173249</v>
      </c>
      <c r="B949" s="8" t="s">
        <v>813</v>
      </c>
    </row>
    <row r="950" spans="1:2" ht="14.25" customHeight="1">
      <c r="A950" s="7">
        <v>900259</v>
      </c>
      <c r="B950" s="8" t="s">
        <v>814</v>
      </c>
    </row>
    <row r="951" spans="1:2" ht="14.25" customHeight="1">
      <c r="A951" s="7">
        <v>8181064</v>
      </c>
      <c r="B951" s="8" t="s">
        <v>815</v>
      </c>
    </row>
    <row r="952" spans="1:2" ht="14.25" customHeight="1">
      <c r="A952" s="7">
        <v>8181057</v>
      </c>
      <c r="B952" s="8" t="s">
        <v>816</v>
      </c>
    </row>
    <row r="953" spans="1:2" ht="14.25" customHeight="1">
      <c r="A953" s="7">
        <v>8173068</v>
      </c>
      <c r="B953" s="8" t="s">
        <v>817</v>
      </c>
    </row>
    <row r="954" spans="1:2" ht="14.25" customHeight="1">
      <c r="A954" s="7">
        <v>8157072</v>
      </c>
      <c r="B954" s="8" t="s">
        <v>818</v>
      </c>
    </row>
    <row r="955" spans="1:2" ht="14.25" customHeight="1">
      <c r="A955" s="7">
        <v>45140001</v>
      </c>
      <c r="B955" s="8" t="s">
        <v>819</v>
      </c>
    </row>
    <row r="956" spans="1:2" ht="14.25" customHeight="1">
      <c r="A956" s="7">
        <v>8173077</v>
      </c>
      <c r="B956" s="8" t="s">
        <v>820</v>
      </c>
    </row>
    <row r="957" spans="1:2" ht="14.25" customHeight="1">
      <c r="A957" s="7">
        <v>7157113</v>
      </c>
      <c r="B957" s="8" t="s">
        <v>821</v>
      </c>
    </row>
    <row r="958" spans="1:2" ht="14.25" customHeight="1">
      <c r="A958" s="7">
        <v>8173073</v>
      </c>
      <c r="B958" s="8" t="s">
        <v>822</v>
      </c>
    </row>
    <row r="959" spans="1:2" ht="14.25" customHeight="1">
      <c r="A959" s="7">
        <v>8173074</v>
      </c>
      <c r="B959" s="8" t="s">
        <v>822</v>
      </c>
    </row>
    <row r="960" spans="1:2" ht="14.25" customHeight="1">
      <c r="A960" s="7">
        <v>8173076</v>
      </c>
      <c r="B960" s="8" t="s">
        <v>822</v>
      </c>
    </row>
    <row r="961" spans="1:2" ht="14.25" customHeight="1">
      <c r="A961" s="7">
        <v>8173078</v>
      </c>
      <c r="B961" s="8" t="s">
        <v>822</v>
      </c>
    </row>
    <row r="962" spans="1:2" ht="14.25" customHeight="1">
      <c r="A962" s="7">
        <v>8173079</v>
      </c>
      <c r="B962" s="8" t="s">
        <v>822</v>
      </c>
    </row>
    <row r="963" spans="1:2" ht="14.25" customHeight="1">
      <c r="A963" s="7">
        <v>8173080</v>
      </c>
      <c r="B963" s="8" t="s">
        <v>822</v>
      </c>
    </row>
    <row r="964" spans="1:2" ht="14.25" customHeight="1">
      <c r="A964" s="7">
        <v>8173081</v>
      </c>
      <c r="B964" s="8" t="s">
        <v>822</v>
      </c>
    </row>
    <row r="965" spans="1:2" ht="14.25" customHeight="1">
      <c r="A965" s="7">
        <v>903622</v>
      </c>
      <c r="B965" s="8" t="s">
        <v>823</v>
      </c>
    </row>
    <row r="966" spans="1:2" ht="14.25" customHeight="1">
      <c r="A966" s="7">
        <v>903623</v>
      </c>
      <c r="B966" s="8" t="s">
        <v>824</v>
      </c>
    </row>
    <row r="967" spans="1:2" ht="14.25" customHeight="1">
      <c r="A967" s="7">
        <v>43230001</v>
      </c>
      <c r="B967" s="8" t="s">
        <v>825</v>
      </c>
    </row>
    <row r="968" spans="1:2" ht="14.25" customHeight="1">
      <c r="A968" s="7">
        <v>81521230</v>
      </c>
      <c r="B968" s="8" t="s">
        <v>826</v>
      </c>
    </row>
    <row r="969" spans="1:2" ht="14.25" customHeight="1">
      <c r="A969" s="7">
        <v>81521228</v>
      </c>
      <c r="B969" s="8" t="s">
        <v>827</v>
      </c>
    </row>
    <row r="970" spans="1:2" ht="14.25" customHeight="1">
      <c r="A970" s="7">
        <v>81521229</v>
      </c>
      <c r="B970" s="8" t="s">
        <v>827</v>
      </c>
    </row>
    <row r="971" spans="1:2" ht="14.25" customHeight="1">
      <c r="A971" s="7">
        <v>15460001</v>
      </c>
      <c r="B971" s="8" t="s">
        <v>828</v>
      </c>
    </row>
    <row r="972" spans="1:2" ht="14.25" customHeight="1">
      <c r="A972" s="7">
        <v>15460002</v>
      </c>
      <c r="B972" s="8" t="s">
        <v>828</v>
      </c>
    </row>
    <row r="973" spans="1:2" ht="14.25" customHeight="1">
      <c r="A973" s="7">
        <v>15460003</v>
      </c>
      <c r="B973" s="8" t="s">
        <v>828</v>
      </c>
    </row>
    <row r="974" spans="1:2" ht="14.25" customHeight="1">
      <c r="A974" s="7">
        <v>15550001</v>
      </c>
      <c r="B974" s="8" t="s">
        <v>829</v>
      </c>
    </row>
    <row r="975" spans="1:2" ht="14.25" customHeight="1">
      <c r="A975" s="7">
        <v>15550002</v>
      </c>
      <c r="B975" s="8" t="s">
        <v>829</v>
      </c>
    </row>
    <row r="976" spans="1:2" ht="14.25" customHeight="1">
      <c r="A976" s="7">
        <v>15550003</v>
      </c>
      <c r="B976" s="8" t="s">
        <v>829</v>
      </c>
    </row>
    <row r="977" spans="1:2" ht="14.25" customHeight="1">
      <c r="A977" s="7">
        <v>15730001</v>
      </c>
      <c r="B977" s="8" t="s">
        <v>830</v>
      </c>
    </row>
    <row r="978" spans="1:2" ht="14.25" customHeight="1">
      <c r="A978" s="7">
        <v>81521326</v>
      </c>
      <c r="B978" s="8" t="s">
        <v>831</v>
      </c>
    </row>
    <row r="979" spans="1:2" ht="14.25" customHeight="1">
      <c r="A979" s="7">
        <v>61524027</v>
      </c>
      <c r="B979" s="8" t="s">
        <v>832</v>
      </c>
    </row>
    <row r="980" spans="1:2" ht="14.25" customHeight="1">
      <c r="A980" s="7">
        <v>1732487</v>
      </c>
      <c r="B980" s="8" t="s">
        <v>833</v>
      </c>
    </row>
    <row r="981" spans="1:2" ht="14.25" customHeight="1">
      <c r="A981" s="7">
        <v>81521330</v>
      </c>
      <c r="B981" s="8" t="s">
        <v>834</v>
      </c>
    </row>
    <row r="982" spans="1:2" ht="14.25" customHeight="1">
      <c r="A982" s="7">
        <v>7157253</v>
      </c>
      <c r="B982" s="8" t="s">
        <v>835</v>
      </c>
    </row>
    <row r="983" spans="1:2" ht="14.25" customHeight="1">
      <c r="A983" s="7">
        <v>903318</v>
      </c>
      <c r="B983" s="8" t="s">
        <v>836</v>
      </c>
    </row>
    <row r="984" spans="1:2" ht="14.25" customHeight="1">
      <c r="A984" s="7">
        <v>903319</v>
      </c>
      <c r="B984" s="8" t="s">
        <v>836</v>
      </c>
    </row>
    <row r="985" spans="1:2" ht="14.25" customHeight="1">
      <c r="A985" s="7">
        <v>903320</v>
      </c>
      <c r="B985" s="8" t="s">
        <v>836</v>
      </c>
    </row>
    <row r="986" spans="1:2" ht="14.25" customHeight="1">
      <c r="A986" s="7">
        <v>903321</v>
      </c>
      <c r="B986" s="8" t="s">
        <v>836</v>
      </c>
    </row>
    <row r="987" spans="1:2" ht="14.25" customHeight="1">
      <c r="A987" s="7">
        <v>903322</v>
      </c>
      <c r="B987" s="8" t="s">
        <v>836</v>
      </c>
    </row>
    <row r="988" spans="1:2" ht="14.25" customHeight="1">
      <c r="A988" s="7">
        <v>903323</v>
      </c>
      <c r="B988" s="8" t="s">
        <v>836</v>
      </c>
    </row>
    <row r="989" spans="1:2" ht="14.25" customHeight="1">
      <c r="A989" s="7">
        <v>903324</v>
      </c>
      <c r="B989" s="8" t="s">
        <v>836</v>
      </c>
    </row>
    <row r="990" spans="1:2" ht="14.25" customHeight="1">
      <c r="A990" s="7">
        <v>903325</v>
      </c>
      <c r="B990" s="8" t="s">
        <v>836</v>
      </c>
    </row>
    <row r="991" spans="1:2" ht="14.25" customHeight="1">
      <c r="A991" s="7">
        <v>903326</v>
      </c>
      <c r="B991" s="8" t="s">
        <v>836</v>
      </c>
    </row>
    <row r="992" spans="1:2" ht="14.25" customHeight="1">
      <c r="A992" s="7">
        <v>903327</v>
      </c>
      <c r="B992" s="8" t="s">
        <v>836</v>
      </c>
    </row>
    <row r="993" spans="1:2" ht="14.25" customHeight="1">
      <c r="A993" s="7">
        <v>903328</v>
      </c>
      <c r="B993" s="8" t="s">
        <v>836</v>
      </c>
    </row>
    <row r="994" spans="1:2" ht="14.25" customHeight="1">
      <c r="A994" s="7">
        <v>903329</v>
      </c>
      <c r="B994" s="8" t="s">
        <v>836</v>
      </c>
    </row>
    <row r="995" spans="1:2" ht="14.25" customHeight="1">
      <c r="A995" s="7">
        <v>903330</v>
      </c>
      <c r="B995" s="8" t="s">
        <v>836</v>
      </c>
    </row>
    <row r="996" spans="1:2" ht="14.25" customHeight="1">
      <c r="A996" s="7">
        <v>903331</v>
      </c>
      <c r="B996" s="8" t="s">
        <v>836</v>
      </c>
    </row>
    <row r="997" spans="1:2" ht="14.25" customHeight="1">
      <c r="A997" s="7">
        <v>903332</v>
      </c>
      <c r="B997" s="8" t="s">
        <v>836</v>
      </c>
    </row>
    <row r="998" spans="1:2" ht="14.25" customHeight="1">
      <c r="A998" s="7">
        <v>81521253</v>
      </c>
      <c r="B998" s="8" t="s">
        <v>836</v>
      </c>
    </row>
    <row r="999" spans="1:2" ht="14.25" customHeight="1">
      <c r="A999" s="7">
        <v>81521254</v>
      </c>
      <c r="B999" s="8" t="s">
        <v>836</v>
      </c>
    </row>
    <row r="1000" spans="1:2" ht="14.25" customHeight="1">
      <c r="A1000" s="7">
        <v>81521255</v>
      </c>
      <c r="B1000" s="8" t="s">
        <v>836</v>
      </c>
    </row>
    <row r="1001" spans="1:2" ht="14.25" customHeight="1">
      <c r="A1001" s="7">
        <v>81521256</v>
      </c>
      <c r="B1001" s="8" t="s">
        <v>836</v>
      </c>
    </row>
    <row r="1002" spans="1:2" ht="14.25" customHeight="1">
      <c r="A1002" s="7">
        <v>81521264</v>
      </c>
      <c r="B1002" s="8" t="s">
        <v>836</v>
      </c>
    </row>
    <row r="1003" spans="1:2" ht="14.25" customHeight="1">
      <c r="A1003" s="7">
        <v>81521137</v>
      </c>
      <c r="B1003" s="8" t="s">
        <v>837</v>
      </c>
    </row>
    <row r="1004" spans="1:2" ht="14.25" customHeight="1">
      <c r="A1004" s="7">
        <v>81521160</v>
      </c>
      <c r="B1004" s="8" t="s">
        <v>837</v>
      </c>
    </row>
    <row r="1005" spans="1:2" ht="14.25" customHeight="1">
      <c r="A1005" s="7">
        <v>81521141</v>
      </c>
      <c r="B1005" s="8" t="s">
        <v>838</v>
      </c>
    </row>
    <row r="1006" spans="1:2" ht="14.25" customHeight="1">
      <c r="A1006" s="7">
        <v>8173628</v>
      </c>
      <c r="B1006" s="8" t="s">
        <v>839</v>
      </c>
    </row>
    <row r="1007" spans="1:2" ht="14.25" customHeight="1">
      <c r="A1007" s="7">
        <v>81521079</v>
      </c>
      <c r="B1007" s="8" t="s">
        <v>839</v>
      </c>
    </row>
    <row r="1008" spans="1:2" ht="14.25" customHeight="1">
      <c r="A1008" s="7">
        <v>903078</v>
      </c>
      <c r="B1008" s="8" t="s">
        <v>840</v>
      </c>
    </row>
    <row r="1009" spans="1:2" ht="14.25" customHeight="1">
      <c r="A1009" s="7">
        <v>903079</v>
      </c>
      <c r="B1009" s="8" t="s">
        <v>840</v>
      </c>
    </row>
    <row r="1010" spans="1:2" ht="14.25" customHeight="1">
      <c r="A1010" s="7">
        <v>903082</v>
      </c>
      <c r="B1010" s="8" t="s">
        <v>840</v>
      </c>
    </row>
    <row r="1011" spans="1:2" ht="14.25" customHeight="1">
      <c r="A1011" s="7">
        <v>903273</v>
      </c>
      <c r="B1011" s="8" t="s">
        <v>840</v>
      </c>
    </row>
    <row r="1012" spans="1:2" ht="14.25" customHeight="1">
      <c r="A1012" s="7">
        <v>81521246</v>
      </c>
      <c r="B1012" s="8" t="s">
        <v>840</v>
      </c>
    </row>
    <row r="1013" spans="1:2" ht="14.25" customHeight="1">
      <c r="A1013" s="7">
        <v>81521247</v>
      </c>
      <c r="B1013" s="8" t="s">
        <v>840</v>
      </c>
    </row>
    <row r="1014" spans="1:2" ht="14.25" customHeight="1">
      <c r="A1014" s="7">
        <v>81521248</v>
      </c>
      <c r="B1014" s="8" t="s">
        <v>840</v>
      </c>
    </row>
    <row r="1015" spans="1:2" ht="14.25" customHeight="1">
      <c r="A1015" s="7">
        <v>901762</v>
      </c>
      <c r="B1015" s="8" t="s">
        <v>841</v>
      </c>
    </row>
    <row r="1016" spans="1:2" ht="14.25" customHeight="1">
      <c r="A1016" s="7">
        <v>902380</v>
      </c>
      <c r="B1016" s="8" t="s">
        <v>841</v>
      </c>
    </row>
    <row r="1017" spans="1:2" ht="14.25" customHeight="1">
      <c r="A1017" s="7">
        <v>81521088</v>
      </c>
      <c r="B1017" s="8" t="s">
        <v>841</v>
      </c>
    </row>
    <row r="1018" spans="1:2" ht="14.25" customHeight="1">
      <c r="A1018" s="7">
        <v>81521244</v>
      </c>
      <c r="B1018" s="8" t="s">
        <v>841</v>
      </c>
    </row>
    <row r="1019" spans="1:2" ht="14.25" customHeight="1">
      <c r="A1019" s="7">
        <v>81521245</v>
      </c>
      <c r="B1019" s="8" t="s">
        <v>841</v>
      </c>
    </row>
    <row r="1020" spans="1:2" ht="14.25" customHeight="1">
      <c r="A1020" s="7">
        <v>81521173</v>
      </c>
      <c r="B1020" s="8" t="s">
        <v>842</v>
      </c>
    </row>
    <row r="1021" spans="1:2" ht="14.25" customHeight="1">
      <c r="A1021" s="7">
        <v>81521175</v>
      </c>
      <c r="B1021" s="8" t="s">
        <v>842</v>
      </c>
    </row>
    <row r="1022" spans="1:2" ht="14.25" customHeight="1">
      <c r="A1022" s="7">
        <v>81521176</v>
      </c>
      <c r="B1022" s="8" t="s">
        <v>842</v>
      </c>
    </row>
    <row r="1023" spans="1:2" ht="14.25" customHeight="1">
      <c r="A1023" s="7">
        <v>81521177</v>
      </c>
      <c r="B1023" s="8" t="s">
        <v>842</v>
      </c>
    </row>
    <row r="1024" spans="1:2" ht="14.25" customHeight="1">
      <c r="A1024" s="7">
        <v>81521270</v>
      </c>
      <c r="B1024" s="8" t="s">
        <v>842</v>
      </c>
    </row>
    <row r="1025" spans="1:2" ht="14.25" customHeight="1">
      <c r="A1025" s="7">
        <v>81521271</v>
      </c>
      <c r="B1025" s="8" t="s">
        <v>842</v>
      </c>
    </row>
    <row r="1026" spans="1:2" ht="14.25" customHeight="1">
      <c r="A1026" s="7">
        <v>81521277</v>
      </c>
      <c r="B1026" s="8" t="s">
        <v>842</v>
      </c>
    </row>
    <row r="1027" spans="1:2" ht="14.25" customHeight="1">
      <c r="A1027" s="7">
        <v>901731</v>
      </c>
      <c r="B1027" s="8" t="s">
        <v>843</v>
      </c>
    </row>
    <row r="1028" spans="1:2" ht="14.25" customHeight="1">
      <c r="A1028" s="7">
        <v>901732</v>
      </c>
      <c r="B1028" s="8" t="s">
        <v>843</v>
      </c>
    </row>
    <row r="1029" spans="1:2" ht="14.25" customHeight="1">
      <c r="A1029" s="7">
        <v>901791</v>
      </c>
      <c r="B1029" s="8" t="s">
        <v>843</v>
      </c>
    </row>
    <row r="1030" spans="1:2" ht="14.25" customHeight="1">
      <c r="A1030" s="7">
        <v>901792</v>
      </c>
      <c r="B1030" s="8" t="s">
        <v>843</v>
      </c>
    </row>
    <row r="1031" spans="1:2" ht="14.25" customHeight="1">
      <c r="A1031" s="7">
        <v>901793</v>
      </c>
      <c r="B1031" s="8" t="s">
        <v>843</v>
      </c>
    </row>
    <row r="1032" spans="1:2" ht="14.25" customHeight="1">
      <c r="A1032" s="7">
        <v>901794</v>
      </c>
      <c r="B1032" s="8" t="s">
        <v>843</v>
      </c>
    </row>
    <row r="1033" spans="1:2" ht="14.25" customHeight="1">
      <c r="A1033" s="7">
        <v>901795</v>
      </c>
      <c r="B1033" s="8" t="s">
        <v>843</v>
      </c>
    </row>
    <row r="1034" spans="1:2" ht="14.25" customHeight="1">
      <c r="A1034" s="7">
        <v>901796</v>
      </c>
      <c r="B1034" s="8" t="s">
        <v>843</v>
      </c>
    </row>
    <row r="1035" spans="1:2" ht="14.25" customHeight="1">
      <c r="A1035" s="7">
        <v>8173634</v>
      </c>
      <c r="B1035" s="8" t="s">
        <v>843</v>
      </c>
    </row>
    <row r="1036" spans="1:2" ht="14.25" customHeight="1">
      <c r="A1036" s="7">
        <v>81521072</v>
      </c>
      <c r="B1036" s="8" t="s">
        <v>843</v>
      </c>
    </row>
    <row r="1037" spans="1:2" ht="14.25" customHeight="1">
      <c r="A1037" s="7">
        <v>81521219</v>
      </c>
      <c r="B1037" s="8" t="s">
        <v>843</v>
      </c>
    </row>
    <row r="1038" spans="1:2" ht="14.25" customHeight="1">
      <c r="A1038" s="7">
        <v>8173575</v>
      </c>
      <c r="B1038" s="8" t="s">
        <v>844</v>
      </c>
    </row>
    <row r="1039" spans="1:2" ht="14.25" customHeight="1">
      <c r="A1039" s="7">
        <v>81521155</v>
      </c>
      <c r="B1039" s="8" t="s">
        <v>845</v>
      </c>
    </row>
    <row r="1040" spans="1:2" ht="14.25" customHeight="1">
      <c r="A1040" s="7">
        <v>81521157</v>
      </c>
      <c r="B1040" s="8" t="s">
        <v>845</v>
      </c>
    </row>
    <row r="1041" spans="1:2" ht="14.25" customHeight="1">
      <c r="A1041" s="7">
        <v>81521159</v>
      </c>
      <c r="B1041" s="8" t="s">
        <v>845</v>
      </c>
    </row>
    <row r="1042" spans="1:2" ht="14.25" customHeight="1">
      <c r="A1042" s="7">
        <v>81521165</v>
      </c>
      <c r="B1042" s="8" t="s">
        <v>845</v>
      </c>
    </row>
    <row r="1043" spans="1:2" ht="14.25" customHeight="1">
      <c r="A1043" s="7">
        <v>81521168</v>
      </c>
      <c r="B1043" s="8" t="s">
        <v>845</v>
      </c>
    </row>
    <row r="1044" spans="1:2" ht="14.25" customHeight="1">
      <c r="A1044" s="7">
        <v>8173643</v>
      </c>
      <c r="B1044" s="8" t="s">
        <v>846</v>
      </c>
    </row>
    <row r="1045" spans="1:2" ht="14.25" customHeight="1">
      <c r="A1045" s="7">
        <v>81521090</v>
      </c>
      <c r="B1045" s="8" t="s">
        <v>846</v>
      </c>
    </row>
    <row r="1046" spans="1:2" ht="14.25" customHeight="1">
      <c r="A1046" s="7">
        <v>81521081</v>
      </c>
      <c r="B1046" s="8" t="s">
        <v>847</v>
      </c>
    </row>
    <row r="1047" spans="1:2" ht="14.25" customHeight="1">
      <c r="A1047" s="7">
        <v>81521110</v>
      </c>
      <c r="B1047" s="8" t="s">
        <v>847</v>
      </c>
    </row>
    <row r="1048" spans="1:2" ht="14.25" customHeight="1">
      <c r="A1048" s="7">
        <v>81521113</v>
      </c>
      <c r="B1048" s="8" t="s">
        <v>847</v>
      </c>
    </row>
    <row r="1049" spans="1:2" ht="14.25" customHeight="1">
      <c r="A1049" s="7">
        <v>81521115</v>
      </c>
      <c r="B1049" s="8" t="s">
        <v>847</v>
      </c>
    </row>
    <row r="1050" spans="1:2" ht="14.25" customHeight="1">
      <c r="A1050" s="7">
        <v>81521116</v>
      </c>
      <c r="B1050" s="8" t="s">
        <v>847</v>
      </c>
    </row>
    <row r="1051" spans="1:2" ht="14.25" customHeight="1">
      <c r="A1051" s="7">
        <v>81521127</v>
      </c>
      <c r="B1051" s="8" t="s">
        <v>847</v>
      </c>
    </row>
    <row r="1052" spans="1:2" ht="14.25" customHeight="1">
      <c r="A1052" s="7">
        <v>81521136</v>
      </c>
      <c r="B1052" s="8" t="s">
        <v>847</v>
      </c>
    </row>
    <row r="1053" spans="1:2" ht="14.25" customHeight="1">
      <c r="A1053" s="7">
        <v>903801</v>
      </c>
      <c r="B1053" s="8" t="s">
        <v>848</v>
      </c>
    </row>
    <row r="1054" spans="1:2" ht="14.25" customHeight="1">
      <c r="A1054" s="7">
        <v>903802</v>
      </c>
      <c r="B1054" s="8" t="s">
        <v>848</v>
      </c>
    </row>
    <row r="1055" spans="1:2" ht="14.25" customHeight="1">
      <c r="A1055" s="7">
        <v>903803</v>
      </c>
      <c r="B1055" s="8" t="s">
        <v>848</v>
      </c>
    </row>
    <row r="1056" spans="1:2" ht="14.25" customHeight="1">
      <c r="A1056" s="7">
        <v>903804</v>
      </c>
      <c r="B1056" s="8" t="s">
        <v>848</v>
      </c>
    </row>
    <row r="1057" spans="1:2" ht="14.25" customHeight="1">
      <c r="A1057" s="7">
        <v>903805</v>
      </c>
      <c r="B1057" s="8" t="s">
        <v>848</v>
      </c>
    </row>
    <row r="1058" spans="1:2" ht="14.25" customHeight="1">
      <c r="A1058" s="7">
        <v>903806</v>
      </c>
      <c r="B1058" s="8" t="s">
        <v>848</v>
      </c>
    </row>
    <row r="1059" spans="1:2" ht="14.25" customHeight="1">
      <c r="A1059" s="7">
        <v>903807</v>
      </c>
      <c r="B1059" s="8" t="s">
        <v>848</v>
      </c>
    </row>
    <row r="1060" spans="1:2" ht="14.25" customHeight="1">
      <c r="A1060" s="7">
        <v>903808</v>
      </c>
      <c r="B1060" s="8" t="s">
        <v>848</v>
      </c>
    </row>
    <row r="1061" spans="1:2" ht="14.25" customHeight="1">
      <c r="A1061" s="7">
        <v>903809</v>
      </c>
      <c r="B1061" s="8" t="s">
        <v>848</v>
      </c>
    </row>
    <row r="1062" spans="1:2" ht="14.25" customHeight="1">
      <c r="A1062" s="7">
        <v>903810</v>
      </c>
      <c r="B1062" s="8" t="s">
        <v>848</v>
      </c>
    </row>
    <row r="1063" spans="1:2" ht="14.25" customHeight="1">
      <c r="A1063" s="7">
        <v>903811</v>
      </c>
      <c r="B1063" s="8" t="s">
        <v>848</v>
      </c>
    </row>
    <row r="1064" spans="1:2" ht="14.25" customHeight="1">
      <c r="A1064" s="7">
        <v>71521000</v>
      </c>
      <c r="B1064" s="8" t="s">
        <v>848</v>
      </c>
    </row>
    <row r="1065" spans="1:2" ht="14.25" customHeight="1">
      <c r="A1065" s="7">
        <v>81521388</v>
      </c>
      <c r="B1065" s="8" t="s">
        <v>848</v>
      </c>
    </row>
    <row r="1066" spans="1:2" ht="14.25" customHeight="1">
      <c r="A1066" s="7">
        <v>81521389</v>
      </c>
      <c r="B1066" s="8" t="s">
        <v>848</v>
      </c>
    </row>
    <row r="1067" spans="1:2" ht="14.25" customHeight="1">
      <c r="A1067" s="7">
        <v>81521542</v>
      </c>
      <c r="B1067" s="8" t="s">
        <v>849</v>
      </c>
    </row>
    <row r="1068" spans="1:2" ht="14.25" customHeight="1">
      <c r="A1068" s="7">
        <v>903611</v>
      </c>
      <c r="B1068" s="8" t="s">
        <v>850</v>
      </c>
    </row>
    <row r="1069" spans="1:2" ht="14.25" customHeight="1">
      <c r="A1069" s="7">
        <v>903612</v>
      </c>
      <c r="B1069" s="8" t="s">
        <v>850</v>
      </c>
    </row>
    <row r="1070" spans="1:2" ht="14.25" customHeight="1">
      <c r="A1070" s="7">
        <v>903613</v>
      </c>
      <c r="B1070" s="8" t="s">
        <v>850</v>
      </c>
    </row>
    <row r="1071" spans="1:2" ht="14.25" customHeight="1">
      <c r="A1071" s="7">
        <v>903614</v>
      </c>
      <c r="B1071" s="8" t="s">
        <v>850</v>
      </c>
    </row>
    <row r="1072" spans="1:2" ht="14.25" customHeight="1">
      <c r="A1072" s="7">
        <v>71521003</v>
      </c>
      <c r="B1072" s="8" t="s">
        <v>851</v>
      </c>
    </row>
    <row r="1073" spans="1:2" ht="14.25" customHeight="1">
      <c r="A1073" s="7">
        <v>71521004</v>
      </c>
      <c r="B1073" s="8" t="s">
        <v>851</v>
      </c>
    </row>
    <row r="1074" spans="1:2" ht="14.25" customHeight="1">
      <c r="A1074" s="7">
        <v>14010127</v>
      </c>
      <c r="B1074" s="8" t="s">
        <v>852</v>
      </c>
    </row>
    <row r="1075" spans="1:2" ht="14.25" customHeight="1">
      <c r="A1075" s="7">
        <v>14010024</v>
      </c>
      <c r="B1075" s="8" t="s">
        <v>853</v>
      </c>
    </row>
    <row r="1076" spans="1:2" ht="14.25" customHeight="1">
      <c r="A1076" s="7">
        <v>14010025</v>
      </c>
      <c r="B1076" s="8" t="s">
        <v>853</v>
      </c>
    </row>
    <row r="1077" spans="1:2" ht="14.25" customHeight="1">
      <c r="A1077" s="7">
        <v>14010026</v>
      </c>
      <c r="B1077" s="8" t="s">
        <v>853</v>
      </c>
    </row>
    <row r="1078" spans="1:2" ht="14.25" customHeight="1">
      <c r="A1078" s="7">
        <v>14010027</v>
      </c>
      <c r="B1078" s="8" t="s">
        <v>853</v>
      </c>
    </row>
    <row r="1079" spans="1:2" ht="14.25" customHeight="1">
      <c r="A1079" s="7">
        <v>14010038</v>
      </c>
      <c r="B1079" s="8" t="s">
        <v>853</v>
      </c>
    </row>
    <row r="1080" spans="1:2" ht="14.25" customHeight="1">
      <c r="A1080" s="7">
        <v>14010039</v>
      </c>
      <c r="B1080" s="8" t="s">
        <v>853</v>
      </c>
    </row>
    <row r="1081" spans="1:2" ht="14.25" customHeight="1">
      <c r="A1081" s="7">
        <v>14010040</v>
      </c>
      <c r="B1081" s="8" t="s">
        <v>853</v>
      </c>
    </row>
    <row r="1082" spans="1:2" ht="14.25" customHeight="1">
      <c r="A1082" s="7">
        <v>14010041</v>
      </c>
      <c r="B1082" s="8" t="s">
        <v>853</v>
      </c>
    </row>
    <row r="1083" spans="1:2" ht="14.25" customHeight="1">
      <c r="A1083" s="7">
        <v>14010042</v>
      </c>
      <c r="B1083" s="8" t="s">
        <v>853</v>
      </c>
    </row>
    <row r="1084" spans="1:2" ht="14.25" customHeight="1">
      <c r="A1084" s="7">
        <v>14010054</v>
      </c>
      <c r="B1084" s="8" t="s">
        <v>854</v>
      </c>
    </row>
    <row r="1085" spans="1:2" ht="14.25" customHeight="1">
      <c r="A1085" s="7">
        <v>14010046</v>
      </c>
      <c r="B1085" s="8" t="s">
        <v>855</v>
      </c>
    </row>
    <row r="1086" spans="1:2" ht="14.25" customHeight="1">
      <c r="A1086" s="7">
        <v>14010060</v>
      </c>
      <c r="B1086" s="8" t="s">
        <v>856</v>
      </c>
    </row>
    <row r="1087" spans="1:2" ht="14.25" customHeight="1">
      <c r="A1087" s="7">
        <v>14010073</v>
      </c>
      <c r="B1087" s="8" t="s">
        <v>856</v>
      </c>
    </row>
    <row r="1088" spans="1:2" ht="14.25" customHeight="1">
      <c r="A1088" s="7">
        <v>14010074</v>
      </c>
      <c r="B1088" s="8" t="s">
        <v>856</v>
      </c>
    </row>
    <row r="1089" spans="1:2" ht="14.25" customHeight="1">
      <c r="A1089" s="7">
        <v>14010075</v>
      </c>
      <c r="B1089" s="8" t="s">
        <v>856</v>
      </c>
    </row>
    <row r="1090" spans="1:2" ht="14.25" customHeight="1">
      <c r="A1090" s="7">
        <v>14010076</v>
      </c>
      <c r="B1090" s="8" t="s">
        <v>856</v>
      </c>
    </row>
    <row r="1091" spans="1:2" ht="14.25" customHeight="1">
      <c r="A1091" s="7">
        <v>14010077</v>
      </c>
      <c r="B1091" s="8" t="s">
        <v>856</v>
      </c>
    </row>
    <row r="1092" spans="1:2" ht="14.25" customHeight="1">
      <c r="A1092" s="7">
        <v>14010078</v>
      </c>
      <c r="B1092" s="8" t="s">
        <v>856</v>
      </c>
    </row>
    <row r="1093" spans="1:2" ht="14.25" customHeight="1">
      <c r="A1093" s="7">
        <v>14010079</v>
      </c>
      <c r="B1093" s="8" t="s">
        <v>856</v>
      </c>
    </row>
    <row r="1094" spans="1:2" ht="14.25" customHeight="1">
      <c r="A1094" s="7">
        <v>14010080</v>
      </c>
      <c r="B1094" s="8" t="s">
        <v>856</v>
      </c>
    </row>
    <row r="1095" spans="1:2" ht="14.25" customHeight="1">
      <c r="A1095" s="7">
        <v>14010086</v>
      </c>
      <c r="B1095" s="8" t="s">
        <v>856</v>
      </c>
    </row>
    <row r="1096" spans="1:2" ht="14.25" customHeight="1">
      <c r="A1096" s="7">
        <v>14010087</v>
      </c>
      <c r="B1096" s="8" t="s">
        <v>856</v>
      </c>
    </row>
    <row r="1097" spans="1:2" ht="14.25" customHeight="1">
      <c r="A1097" s="7">
        <v>14010088</v>
      </c>
      <c r="B1097" s="8" t="s">
        <v>856</v>
      </c>
    </row>
    <row r="1098" spans="1:2" ht="14.25" customHeight="1">
      <c r="A1098" s="7">
        <v>14010089</v>
      </c>
      <c r="B1098" s="8" t="s">
        <v>856</v>
      </c>
    </row>
    <row r="1099" spans="1:2" ht="14.25" customHeight="1">
      <c r="A1099" s="7">
        <v>14010090</v>
      </c>
      <c r="B1099" s="8" t="s">
        <v>856</v>
      </c>
    </row>
    <row r="1100" spans="1:2" ht="14.25" customHeight="1">
      <c r="A1100" s="7">
        <v>14010121</v>
      </c>
      <c r="B1100" s="8" t="s">
        <v>856</v>
      </c>
    </row>
    <row r="1101" spans="1:2" ht="14.25" customHeight="1">
      <c r="A1101" s="7">
        <v>14010122</v>
      </c>
      <c r="B1101" s="8" t="s">
        <v>856</v>
      </c>
    </row>
    <row r="1102" spans="1:2" ht="14.25" customHeight="1">
      <c r="A1102" s="7">
        <v>14010123</v>
      </c>
      <c r="B1102" s="8" t="s">
        <v>856</v>
      </c>
    </row>
    <row r="1103" spans="1:2" ht="14.25" customHeight="1">
      <c r="A1103" s="7">
        <v>14010124</v>
      </c>
      <c r="B1103" s="8" t="s">
        <v>856</v>
      </c>
    </row>
    <row r="1104" spans="1:2" ht="14.25" customHeight="1">
      <c r="A1104" s="7">
        <v>14010055</v>
      </c>
      <c r="B1104" s="8" t="s">
        <v>857</v>
      </c>
    </row>
    <row r="1105" spans="1:2" ht="14.25" customHeight="1">
      <c r="A1105" s="7">
        <v>14010056</v>
      </c>
      <c r="B1105" s="8" t="s">
        <v>857</v>
      </c>
    </row>
    <row r="1106" spans="1:2" ht="14.25" customHeight="1">
      <c r="A1106" s="7">
        <v>14010062</v>
      </c>
      <c r="B1106" s="8" t="s">
        <v>857</v>
      </c>
    </row>
    <row r="1107" spans="1:2" ht="14.25" customHeight="1">
      <c r="A1107" s="7">
        <v>14010063</v>
      </c>
      <c r="B1107" s="8" t="s">
        <v>857</v>
      </c>
    </row>
    <row r="1108" spans="1:2" ht="14.25" customHeight="1">
      <c r="A1108" s="7">
        <v>14010131</v>
      </c>
      <c r="B1108" s="8" t="s">
        <v>857</v>
      </c>
    </row>
    <row r="1109" spans="1:2" ht="14.25" customHeight="1">
      <c r="A1109" s="7">
        <v>81521091</v>
      </c>
      <c r="B1109" s="8" t="s">
        <v>858</v>
      </c>
    </row>
    <row r="1110" spans="1:2" ht="14.25" customHeight="1">
      <c r="A1110" s="7">
        <v>81521217</v>
      </c>
      <c r="B1110" s="8" t="s">
        <v>858</v>
      </c>
    </row>
    <row r="1111" spans="1:2" ht="14.25" customHeight="1">
      <c r="A1111" s="7">
        <v>81521218</v>
      </c>
      <c r="B1111" s="8" t="s">
        <v>858</v>
      </c>
    </row>
    <row r="1112" spans="1:2" ht="14.25" customHeight="1">
      <c r="A1112" s="7">
        <v>81521063</v>
      </c>
      <c r="B1112" s="8" t="s">
        <v>859</v>
      </c>
    </row>
    <row r="1113" spans="1:2" ht="14.25" customHeight="1">
      <c r="A1113" s="7">
        <v>81521544</v>
      </c>
      <c r="B1113" s="8" t="s">
        <v>860</v>
      </c>
    </row>
    <row r="1114" spans="1:2" ht="14.25" customHeight="1">
      <c r="A1114" s="7">
        <v>81521545</v>
      </c>
      <c r="B1114" s="8" t="s">
        <v>860</v>
      </c>
    </row>
    <row r="1115" spans="1:2" ht="14.25" customHeight="1">
      <c r="A1115" s="7">
        <v>81521546</v>
      </c>
      <c r="B1115" s="8" t="s">
        <v>860</v>
      </c>
    </row>
    <row r="1116" spans="1:2" ht="14.25" customHeight="1">
      <c r="A1116" s="7">
        <v>81521547</v>
      </c>
      <c r="B1116" s="8" t="s">
        <v>860</v>
      </c>
    </row>
    <row r="1117" spans="1:2" ht="14.25" customHeight="1">
      <c r="A1117" s="7">
        <v>81521548</v>
      </c>
      <c r="B1117" s="8" t="s">
        <v>860</v>
      </c>
    </row>
    <row r="1118" spans="1:2" ht="14.25" customHeight="1">
      <c r="A1118" s="7">
        <v>81521561</v>
      </c>
      <c r="B1118" s="8" t="s">
        <v>860</v>
      </c>
    </row>
    <row r="1119" spans="1:2" ht="14.25" customHeight="1">
      <c r="A1119" s="7">
        <v>81521562</v>
      </c>
      <c r="B1119" s="8" t="s">
        <v>860</v>
      </c>
    </row>
    <row r="1120" spans="1:2" ht="14.25" customHeight="1">
      <c r="A1120" s="7">
        <v>81521563</v>
      </c>
      <c r="B1120" s="8" t="s">
        <v>860</v>
      </c>
    </row>
    <row r="1121" spans="1:2" ht="14.25" customHeight="1">
      <c r="A1121" s="7">
        <v>81521564</v>
      </c>
      <c r="B1121" s="8" t="s">
        <v>860</v>
      </c>
    </row>
    <row r="1122" spans="1:2" ht="14.25" customHeight="1">
      <c r="A1122" s="7">
        <v>81521565</v>
      </c>
      <c r="B1122" s="8" t="s">
        <v>860</v>
      </c>
    </row>
    <row r="1123" spans="1:2" ht="14.25" customHeight="1">
      <c r="A1123" s="7">
        <v>81521574</v>
      </c>
      <c r="B1123" s="8" t="s">
        <v>860</v>
      </c>
    </row>
    <row r="1124" spans="1:2" ht="14.25" customHeight="1">
      <c r="A1124" s="7">
        <v>81521575</v>
      </c>
      <c r="B1124" s="8" t="s">
        <v>860</v>
      </c>
    </row>
    <row r="1125" spans="1:2" ht="14.25" customHeight="1">
      <c r="A1125" s="7">
        <v>81521576</v>
      </c>
      <c r="B1125" s="8" t="s">
        <v>860</v>
      </c>
    </row>
    <row r="1126" spans="1:2" ht="14.25" customHeight="1">
      <c r="A1126" s="7">
        <v>81521577</v>
      </c>
      <c r="B1126" s="8" t="s">
        <v>860</v>
      </c>
    </row>
    <row r="1127" spans="1:2" ht="14.25" customHeight="1">
      <c r="A1127" s="7">
        <v>81521578</v>
      </c>
      <c r="B1127" s="8" t="s">
        <v>860</v>
      </c>
    </row>
    <row r="1128" spans="1:2" ht="14.25" customHeight="1">
      <c r="A1128" s="7">
        <v>81521579</v>
      </c>
      <c r="B1128" s="8" t="s">
        <v>860</v>
      </c>
    </row>
    <row r="1129" spans="1:2" ht="14.25" customHeight="1">
      <c r="A1129" s="7">
        <v>81521580</v>
      </c>
      <c r="B1129" s="8" t="s">
        <v>860</v>
      </c>
    </row>
    <row r="1130" spans="1:2" ht="14.25" customHeight="1">
      <c r="A1130" s="7">
        <v>81521581</v>
      </c>
      <c r="B1130" s="8" t="s">
        <v>860</v>
      </c>
    </row>
    <row r="1131" spans="1:2" ht="14.25" customHeight="1">
      <c r="A1131" s="7">
        <v>81521582</v>
      </c>
      <c r="B1131" s="8" t="s">
        <v>860</v>
      </c>
    </row>
    <row r="1132" spans="1:2" ht="14.25" customHeight="1">
      <c r="A1132" s="7">
        <v>81521583</v>
      </c>
      <c r="B1132" s="8" t="s">
        <v>860</v>
      </c>
    </row>
    <row r="1133" spans="1:2" ht="14.25" customHeight="1">
      <c r="A1133" s="7">
        <v>1731282</v>
      </c>
      <c r="B1133" s="8" t="s">
        <v>861</v>
      </c>
    </row>
    <row r="1134" spans="1:2" ht="14.25" customHeight="1">
      <c r="A1134" s="7">
        <v>901801</v>
      </c>
      <c r="B1134" s="8" t="s">
        <v>862</v>
      </c>
    </row>
    <row r="1135" spans="1:2" ht="14.25" customHeight="1">
      <c r="A1135" s="7">
        <v>8173499</v>
      </c>
      <c r="B1135" s="8" t="s">
        <v>862</v>
      </c>
    </row>
    <row r="1136" spans="1:2" ht="14.25" customHeight="1">
      <c r="A1136" s="7">
        <v>8173562</v>
      </c>
      <c r="B1136" s="8" t="s">
        <v>862</v>
      </c>
    </row>
    <row r="1137" spans="1:2" ht="14.25" customHeight="1">
      <c r="A1137" s="7">
        <v>81521180</v>
      </c>
      <c r="B1137" s="8" t="s">
        <v>862</v>
      </c>
    </row>
    <row r="1138" spans="1:2" ht="14.25" customHeight="1">
      <c r="A1138" s="7">
        <v>81521181</v>
      </c>
      <c r="B1138" s="8" t="s">
        <v>862</v>
      </c>
    </row>
    <row r="1139" spans="1:2" ht="14.25" customHeight="1">
      <c r="A1139" s="7">
        <v>81521182</v>
      </c>
      <c r="B1139" s="8" t="s">
        <v>862</v>
      </c>
    </row>
    <row r="1140" spans="1:2" ht="14.25" customHeight="1">
      <c r="A1140" s="7">
        <v>81521249</v>
      </c>
      <c r="B1140" s="8" t="s">
        <v>862</v>
      </c>
    </row>
    <row r="1141" spans="1:2" ht="14.25" customHeight="1">
      <c r="A1141" s="7">
        <v>1731613</v>
      </c>
      <c r="B1141" s="8" t="s">
        <v>863</v>
      </c>
    </row>
    <row r="1142" spans="1:2" ht="14.25" customHeight="1">
      <c r="A1142" s="7">
        <v>1731798</v>
      </c>
      <c r="B1142" s="8" t="s">
        <v>863</v>
      </c>
    </row>
    <row r="1143" spans="1:2" ht="14.25" customHeight="1">
      <c r="A1143" s="7">
        <v>1732222</v>
      </c>
      <c r="B1143" s="8" t="s">
        <v>863</v>
      </c>
    </row>
    <row r="1144" spans="1:2" ht="14.25" customHeight="1">
      <c r="A1144" s="7">
        <v>1731469</v>
      </c>
      <c r="B1144" s="8" t="s">
        <v>864</v>
      </c>
    </row>
    <row r="1145" spans="1:2" ht="14.25" customHeight="1">
      <c r="A1145" s="7">
        <v>1731864</v>
      </c>
      <c r="B1145" s="8" t="s">
        <v>864</v>
      </c>
    </row>
    <row r="1146" spans="1:2" ht="14.25" customHeight="1">
      <c r="A1146" s="7">
        <v>21521006</v>
      </c>
      <c r="B1146" s="8" t="s">
        <v>865</v>
      </c>
    </row>
    <row r="1147" spans="1:2" ht="14.25" customHeight="1">
      <c r="A1147" s="7">
        <v>21521007</v>
      </c>
      <c r="B1147" s="8" t="s">
        <v>865</v>
      </c>
    </row>
    <row r="1148" spans="1:2" ht="14.25" customHeight="1">
      <c r="A1148" s="7">
        <v>21521009</v>
      </c>
      <c r="B1148" s="8" t="s">
        <v>865</v>
      </c>
    </row>
    <row r="1149" spans="1:2" ht="14.25" customHeight="1">
      <c r="A1149" s="7">
        <v>21521010</v>
      </c>
      <c r="B1149" s="8" t="s">
        <v>865</v>
      </c>
    </row>
    <row r="1150" spans="1:2" ht="14.25" customHeight="1">
      <c r="A1150" s="7">
        <v>21521011</v>
      </c>
      <c r="B1150" s="8" t="s">
        <v>865</v>
      </c>
    </row>
    <row r="1151" spans="1:2" ht="14.25" customHeight="1">
      <c r="A1151" s="7">
        <v>21521012</v>
      </c>
      <c r="B1151" s="8" t="s">
        <v>865</v>
      </c>
    </row>
    <row r="1152" spans="1:2" ht="14.25" customHeight="1">
      <c r="A1152" s="7">
        <v>21521013</v>
      </c>
      <c r="B1152" s="8" t="s">
        <v>865</v>
      </c>
    </row>
    <row r="1153" spans="1:2" ht="14.25" customHeight="1">
      <c r="A1153" s="7">
        <v>21521015</v>
      </c>
      <c r="B1153" s="8" t="s">
        <v>865</v>
      </c>
    </row>
    <row r="1154" spans="1:2" ht="14.25" customHeight="1">
      <c r="A1154" s="7">
        <v>21521016</v>
      </c>
      <c r="B1154" s="8" t="s">
        <v>865</v>
      </c>
    </row>
    <row r="1155" spans="1:2" ht="14.25" customHeight="1">
      <c r="A1155" s="7">
        <v>21521017</v>
      </c>
      <c r="B1155" s="8" t="s">
        <v>865</v>
      </c>
    </row>
    <row r="1156" spans="1:2" ht="14.25" customHeight="1">
      <c r="A1156" s="7">
        <v>21521018</v>
      </c>
      <c r="B1156" s="8" t="s">
        <v>865</v>
      </c>
    </row>
    <row r="1157" spans="1:2" ht="14.25" customHeight="1">
      <c r="A1157" s="7">
        <v>21521019</v>
      </c>
      <c r="B1157" s="8" t="s">
        <v>865</v>
      </c>
    </row>
    <row r="1158" spans="1:2" ht="14.25" customHeight="1">
      <c r="A1158" s="7">
        <v>21521020</v>
      </c>
      <c r="B1158" s="8" t="s">
        <v>865</v>
      </c>
    </row>
    <row r="1159" spans="1:2" ht="14.25" customHeight="1">
      <c r="A1159" s="7">
        <v>21521024</v>
      </c>
      <c r="B1159" s="8" t="s">
        <v>865</v>
      </c>
    </row>
    <row r="1160" spans="1:2" ht="14.25" customHeight="1">
      <c r="A1160" s="7">
        <v>21521025</v>
      </c>
      <c r="B1160" s="8" t="s">
        <v>865</v>
      </c>
    </row>
    <row r="1161" spans="1:2" ht="14.25" customHeight="1">
      <c r="A1161" s="7">
        <v>21521026</v>
      </c>
      <c r="B1161" s="8" t="s">
        <v>865</v>
      </c>
    </row>
    <row r="1162" spans="1:2" ht="14.25" customHeight="1">
      <c r="A1162" s="7">
        <v>21521027</v>
      </c>
      <c r="B1162" s="8" t="s">
        <v>865</v>
      </c>
    </row>
    <row r="1163" spans="1:2" ht="14.25" customHeight="1">
      <c r="A1163" s="7">
        <v>21521028</v>
      </c>
      <c r="B1163" s="8" t="s">
        <v>865</v>
      </c>
    </row>
    <row r="1164" spans="1:2" ht="14.25" customHeight="1">
      <c r="A1164" s="7">
        <v>21521029</v>
      </c>
      <c r="B1164" s="8" t="s">
        <v>865</v>
      </c>
    </row>
    <row r="1165" spans="1:2" ht="14.25" customHeight="1">
      <c r="A1165" s="7">
        <v>21521030</v>
      </c>
      <c r="B1165" s="8" t="s">
        <v>865</v>
      </c>
    </row>
    <row r="1166" spans="1:2" ht="14.25" customHeight="1">
      <c r="A1166" s="7">
        <v>21521041</v>
      </c>
      <c r="B1166" s="8" t="s">
        <v>865</v>
      </c>
    </row>
    <row r="1167" spans="1:2" ht="14.25" customHeight="1">
      <c r="A1167" s="7">
        <v>21521042</v>
      </c>
      <c r="B1167" s="8" t="s">
        <v>865</v>
      </c>
    </row>
    <row r="1168" spans="1:2" ht="14.25" customHeight="1">
      <c r="A1168" s="7">
        <v>21521043</v>
      </c>
      <c r="B1168" s="8" t="s">
        <v>865</v>
      </c>
    </row>
    <row r="1169" spans="1:2" ht="14.25" customHeight="1">
      <c r="A1169" s="7">
        <v>21524013</v>
      </c>
      <c r="B1169" s="8" t="s">
        <v>866</v>
      </c>
    </row>
    <row r="1170" spans="1:2" ht="14.25" customHeight="1">
      <c r="A1170" s="7">
        <v>21524014</v>
      </c>
      <c r="B1170" s="8" t="s">
        <v>866</v>
      </c>
    </row>
    <row r="1171" spans="1:2" ht="14.25" customHeight="1">
      <c r="A1171" s="7">
        <v>2173004</v>
      </c>
      <c r="B1171" s="8" t="s">
        <v>867</v>
      </c>
    </row>
    <row r="1172" spans="1:2" ht="14.25" customHeight="1">
      <c r="A1172" s="7">
        <v>12020009</v>
      </c>
      <c r="B1172" s="8" t="s">
        <v>868</v>
      </c>
    </row>
    <row r="1173" spans="1:2" ht="14.25" customHeight="1">
      <c r="A1173" s="7">
        <v>12020010</v>
      </c>
      <c r="B1173" s="8" t="s">
        <v>868</v>
      </c>
    </row>
    <row r="1174" spans="1:2" ht="14.25" customHeight="1">
      <c r="A1174" s="7">
        <v>12020011</v>
      </c>
      <c r="B1174" s="8" t="s">
        <v>868</v>
      </c>
    </row>
    <row r="1175" spans="1:2" ht="14.25" customHeight="1">
      <c r="A1175" s="7">
        <v>12020012</v>
      </c>
      <c r="B1175" s="8" t="s">
        <v>868</v>
      </c>
    </row>
    <row r="1176" spans="1:2" ht="14.25" customHeight="1">
      <c r="A1176" s="7">
        <v>12020013</v>
      </c>
      <c r="B1176" s="8" t="s">
        <v>868</v>
      </c>
    </row>
    <row r="1177" spans="1:2" ht="14.25" customHeight="1">
      <c r="A1177" s="7">
        <v>12020014</v>
      </c>
      <c r="B1177" s="8" t="s">
        <v>868</v>
      </c>
    </row>
    <row r="1178" spans="1:2" ht="14.25" customHeight="1">
      <c r="A1178" s="7">
        <v>12020015</v>
      </c>
      <c r="B1178" s="8" t="s">
        <v>868</v>
      </c>
    </row>
    <row r="1179" spans="1:2" ht="14.25" customHeight="1">
      <c r="A1179" s="7">
        <v>12020016</v>
      </c>
      <c r="B1179" s="8" t="s">
        <v>868</v>
      </c>
    </row>
    <row r="1180" spans="1:2" ht="14.25" customHeight="1">
      <c r="A1180" s="7">
        <v>12020017</v>
      </c>
      <c r="B1180" s="8" t="s">
        <v>868</v>
      </c>
    </row>
    <row r="1181" spans="1:2" ht="14.25" customHeight="1">
      <c r="A1181" s="7">
        <v>12020018</v>
      </c>
      <c r="B1181" s="8" t="s">
        <v>868</v>
      </c>
    </row>
    <row r="1182" spans="1:2" ht="14.25" customHeight="1">
      <c r="A1182" s="7">
        <v>33040002</v>
      </c>
      <c r="B1182" s="8" t="s">
        <v>869</v>
      </c>
    </row>
    <row r="1183" spans="1:2" ht="14.25" customHeight="1">
      <c r="A1183" s="7">
        <v>61521050</v>
      </c>
      <c r="B1183" s="8" t="s">
        <v>870</v>
      </c>
    </row>
    <row r="1184" spans="1:2" ht="14.25" customHeight="1">
      <c r="A1184" s="7">
        <v>43040001</v>
      </c>
      <c r="B1184" s="8" t="s">
        <v>871</v>
      </c>
    </row>
    <row r="1185" spans="1:2" ht="14.25" customHeight="1">
      <c r="A1185" s="7">
        <v>1732414</v>
      </c>
      <c r="B1185" s="8" t="s">
        <v>872</v>
      </c>
    </row>
    <row r="1186" spans="1:2" ht="14.25" customHeight="1">
      <c r="A1186" s="7">
        <v>901062</v>
      </c>
      <c r="B1186" s="8" t="s">
        <v>873</v>
      </c>
    </row>
    <row r="1187" spans="1:2" ht="14.25" customHeight="1">
      <c r="A1187" s="7">
        <v>17130004</v>
      </c>
      <c r="B1187" s="8" t="s">
        <v>874</v>
      </c>
    </row>
    <row r="1188" spans="1:2" ht="14.25" customHeight="1">
      <c r="A1188" s="7">
        <v>61521019</v>
      </c>
      <c r="B1188" s="8" t="s">
        <v>875</v>
      </c>
    </row>
    <row r="1189" spans="1:2" ht="14.25" customHeight="1">
      <c r="A1189" s="7">
        <v>61521001</v>
      </c>
      <c r="B1189" s="8" t="s">
        <v>876</v>
      </c>
    </row>
    <row r="1190" spans="1:2" ht="14.25" customHeight="1">
      <c r="A1190" s="7">
        <v>61521002</v>
      </c>
      <c r="B1190" s="8" t="s">
        <v>876</v>
      </c>
    </row>
    <row r="1191" spans="1:2" ht="14.25" customHeight="1">
      <c r="A1191" s="7">
        <v>32060002</v>
      </c>
      <c r="B1191" s="8" t="s">
        <v>877</v>
      </c>
    </row>
    <row r="1192" spans="1:2" ht="14.25" customHeight="1">
      <c r="A1192" s="7">
        <v>61521041</v>
      </c>
      <c r="B1192" s="8" t="s">
        <v>878</v>
      </c>
    </row>
    <row r="1193" spans="1:2" ht="14.25" customHeight="1">
      <c r="A1193" s="7">
        <v>61521042</v>
      </c>
      <c r="B1193" s="8" t="s">
        <v>878</v>
      </c>
    </row>
    <row r="1194" spans="1:2" ht="14.25" customHeight="1">
      <c r="A1194" s="7">
        <v>61521043</v>
      </c>
      <c r="B1194" s="8" t="s">
        <v>878</v>
      </c>
    </row>
    <row r="1195" spans="1:2" ht="14.25" customHeight="1">
      <c r="A1195" s="7">
        <v>61521061</v>
      </c>
      <c r="B1195" s="8" t="s">
        <v>879</v>
      </c>
    </row>
    <row r="1196" spans="1:2" ht="14.25" customHeight="1">
      <c r="A1196" s="7">
        <v>61521062</v>
      </c>
      <c r="B1196" s="8" t="s">
        <v>879</v>
      </c>
    </row>
    <row r="1197" spans="1:2" ht="14.25" customHeight="1">
      <c r="A1197" s="7">
        <v>32060010</v>
      </c>
      <c r="B1197" s="8" t="s">
        <v>880</v>
      </c>
    </row>
    <row r="1198" spans="1:2" ht="14.25" customHeight="1">
      <c r="A1198" s="7">
        <v>32060001</v>
      </c>
      <c r="B1198" s="8" t="s">
        <v>881</v>
      </c>
    </row>
    <row r="1199" spans="1:2" ht="14.25" customHeight="1">
      <c r="A1199" s="7">
        <v>32060009</v>
      </c>
      <c r="B1199" s="8" t="s">
        <v>881</v>
      </c>
    </row>
    <row r="1200" spans="1:2" ht="14.25" customHeight="1">
      <c r="A1200" s="7">
        <v>17320813</v>
      </c>
      <c r="B1200" s="8" t="s">
        <v>882</v>
      </c>
    </row>
    <row r="1201" spans="1:2" ht="14.25" customHeight="1">
      <c r="A1201" s="7">
        <v>45009006</v>
      </c>
      <c r="B1201" s="8" t="s">
        <v>883</v>
      </c>
    </row>
    <row r="1202" spans="1:2" ht="14.25" customHeight="1">
      <c r="A1202" s="7">
        <v>33050003</v>
      </c>
      <c r="B1202" s="8" t="s">
        <v>884</v>
      </c>
    </row>
    <row r="1203" spans="1:2" ht="14.25" customHeight="1">
      <c r="A1203" s="7">
        <v>61521070</v>
      </c>
      <c r="B1203" s="8" t="s">
        <v>884</v>
      </c>
    </row>
    <row r="1204" spans="1:2" ht="14.25" customHeight="1">
      <c r="A1204" s="7">
        <v>61521071</v>
      </c>
      <c r="B1204" s="8" t="s">
        <v>884</v>
      </c>
    </row>
    <row r="1205" spans="1:2" ht="14.25" customHeight="1">
      <c r="A1205" s="7">
        <v>61521072</v>
      </c>
      <c r="B1205" s="8" t="s">
        <v>884</v>
      </c>
    </row>
    <row r="1206" spans="1:2" ht="14.25" customHeight="1">
      <c r="A1206" s="7">
        <v>61521073</v>
      </c>
      <c r="B1206" s="8" t="s">
        <v>884</v>
      </c>
    </row>
    <row r="1207" spans="1:2" ht="14.25" customHeight="1">
      <c r="A1207" s="7">
        <v>61521104</v>
      </c>
      <c r="B1207" s="8" t="s">
        <v>885</v>
      </c>
    </row>
    <row r="1208" spans="1:2" ht="14.25" customHeight="1">
      <c r="A1208" s="7">
        <v>43050001</v>
      </c>
      <c r="B1208" s="8" t="s">
        <v>886</v>
      </c>
    </row>
    <row r="1209" spans="1:2" ht="14.25" customHeight="1">
      <c r="A1209" s="7">
        <v>61521003</v>
      </c>
      <c r="B1209" s="8" t="s">
        <v>887</v>
      </c>
    </row>
    <row r="1210" spans="1:2" ht="14.25" customHeight="1">
      <c r="A1210" s="7">
        <v>61521006</v>
      </c>
      <c r="B1210" s="8" t="s">
        <v>887</v>
      </c>
    </row>
    <row r="1211" spans="1:2" ht="14.25" customHeight="1">
      <c r="A1211" s="7">
        <v>13050019</v>
      </c>
      <c r="B1211" s="8" t="s">
        <v>487</v>
      </c>
    </row>
    <row r="1212" spans="1:2" ht="14.25" customHeight="1">
      <c r="A1212" s="7">
        <v>13050020</v>
      </c>
      <c r="B1212" s="8" t="s">
        <v>487</v>
      </c>
    </row>
    <row r="1213" spans="1:2" ht="14.25" customHeight="1">
      <c r="A1213" s="7">
        <v>23050004</v>
      </c>
      <c r="B1213" s="8" t="s">
        <v>487</v>
      </c>
    </row>
    <row r="1214" spans="1:2" ht="14.25" customHeight="1">
      <c r="A1214" s="7">
        <v>23050005</v>
      </c>
      <c r="B1214" s="8" t="s">
        <v>487</v>
      </c>
    </row>
    <row r="1215" spans="1:2" ht="14.25" customHeight="1">
      <c r="A1215" s="7">
        <v>23050006</v>
      </c>
      <c r="B1215" s="8" t="s">
        <v>487</v>
      </c>
    </row>
    <row r="1216" spans="1:2" ht="14.25" customHeight="1">
      <c r="A1216" s="7">
        <v>23050007</v>
      </c>
      <c r="B1216" s="8" t="s">
        <v>487</v>
      </c>
    </row>
    <row r="1217" spans="1:2" ht="14.25" customHeight="1">
      <c r="A1217" s="7">
        <v>23050008</v>
      </c>
      <c r="B1217" s="8" t="s">
        <v>487</v>
      </c>
    </row>
    <row r="1218" spans="1:2" ht="14.25" customHeight="1">
      <c r="A1218" s="7">
        <v>23050009</v>
      </c>
      <c r="B1218" s="8" t="s">
        <v>487</v>
      </c>
    </row>
    <row r="1219" spans="1:2" ht="14.25" customHeight="1">
      <c r="A1219" s="7">
        <v>33050001</v>
      </c>
      <c r="B1219" s="8" t="s">
        <v>487</v>
      </c>
    </row>
    <row r="1220" spans="1:2" ht="14.25" customHeight="1">
      <c r="A1220" s="7">
        <v>61521021</v>
      </c>
      <c r="B1220" s="8" t="s">
        <v>487</v>
      </c>
    </row>
    <row r="1221" spans="1:2" ht="14.25" customHeight="1">
      <c r="A1221" s="7">
        <v>61521022</v>
      </c>
      <c r="B1221" s="8" t="s">
        <v>487</v>
      </c>
    </row>
    <row r="1222" spans="1:2" ht="14.25" customHeight="1">
      <c r="A1222" s="7">
        <v>61521024</v>
      </c>
      <c r="B1222" s="8" t="s">
        <v>487</v>
      </c>
    </row>
    <row r="1223" spans="1:2" ht="14.25" customHeight="1">
      <c r="A1223" s="7">
        <v>61521029</v>
      </c>
      <c r="B1223" s="8" t="s">
        <v>487</v>
      </c>
    </row>
    <row r="1224" spans="1:2" ht="14.25" customHeight="1">
      <c r="A1224" s="7">
        <v>61521049</v>
      </c>
      <c r="B1224" s="8" t="s">
        <v>487</v>
      </c>
    </row>
    <row r="1225" spans="1:2" ht="14.25" customHeight="1">
      <c r="A1225" s="7">
        <v>61521088</v>
      </c>
      <c r="B1225" s="8" t="s">
        <v>487</v>
      </c>
    </row>
    <row r="1226" spans="1:2" ht="14.25" customHeight="1">
      <c r="A1226" s="7">
        <v>61521090</v>
      </c>
      <c r="B1226" s="8" t="s">
        <v>487</v>
      </c>
    </row>
    <row r="1227" spans="1:2" ht="14.25" customHeight="1">
      <c r="A1227" s="7">
        <v>61521091</v>
      </c>
      <c r="B1227" s="8" t="s">
        <v>487</v>
      </c>
    </row>
    <row r="1228" spans="1:2" ht="14.25" customHeight="1">
      <c r="A1228" s="7">
        <v>61524006</v>
      </c>
      <c r="B1228" s="8" t="s">
        <v>487</v>
      </c>
    </row>
    <row r="1229" spans="1:2" ht="14.25" customHeight="1">
      <c r="A1229" s="7">
        <v>1732217</v>
      </c>
      <c r="B1229" s="8" t="s">
        <v>888</v>
      </c>
    </row>
    <row r="1230" spans="1:2" ht="14.25" customHeight="1">
      <c r="A1230" s="7">
        <v>1732218</v>
      </c>
      <c r="B1230" s="8" t="s">
        <v>888</v>
      </c>
    </row>
    <row r="1231" spans="1:2" ht="14.25" customHeight="1">
      <c r="A1231" s="7">
        <v>1732219</v>
      </c>
      <c r="B1231" s="8" t="s">
        <v>888</v>
      </c>
    </row>
    <row r="1232" spans="1:2" ht="14.25" customHeight="1">
      <c r="A1232" s="7">
        <v>1732220</v>
      </c>
      <c r="B1232" s="8" t="s">
        <v>888</v>
      </c>
    </row>
    <row r="1233" spans="1:2" ht="14.25" customHeight="1">
      <c r="A1233" s="7">
        <v>1732221</v>
      </c>
      <c r="B1233" s="8" t="s">
        <v>888</v>
      </c>
    </row>
    <row r="1234" spans="1:2" ht="14.25" customHeight="1">
      <c r="A1234" s="7">
        <v>1732256</v>
      </c>
      <c r="B1234" s="8" t="s">
        <v>888</v>
      </c>
    </row>
    <row r="1235" spans="1:2" ht="14.25" customHeight="1">
      <c r="A1235" s="7">
        <v>4173047</v>
      </c>
      <c r="B1235" s="8" t="s">
        <v>889</v>
      </c>
    </row>
    <row r="1236" spans="1:2" ht="14.25" customHeight="1">
      <c r="A1236" s="7">
        <v>41519032</v>
      </c>
      <c r="B1236" s="8" t="s">
        <v>890</v>
      </c>
    </row>
    <row r="1237" spans="1:2" ht="14.25" customHeight="1">
      <c r="A1237" s="7">
        <v>41519033</v>
      </c>
      <c r="B1237" s="8" t="s">
        <v>890</v>
      </c>
    </row>
    <row r="1238" spans="1:2" ht="14.25" customHeight="1">
      <c r="A1238" s="7">
        <v>41522038</v>
      </c>
      <c r="B1238" s="8" t="s">
        <v>890</v>
      </c>
    </row>
    <row r="1239" spans="1:2" ht="14.25" customHeight="1">
      <c r="A1239" s="7">
        <v>81521064</v>
      </c>
      <c r="B1239" s="8" t="s">
        <v>891</v>
      </c>
    </row>
    <row r="1240" spans="1:2" ht="14.25" customHeight="1">
      <c r="A1240" s="7">
        <v>81521066</v>
      </c>
      <c r="B1240" s="8" t="s">
        <v>891</v>
      </c>
    </row>
    <row r="1241" spans="1:2" ht="14.25" customHeight="1">
      <c r="A1241" s="7">
        <v>81521067</v>
      </c>
      <c r="B1241" s="8" t="s">
        <v>891</v>
      </c>
    </row>
    <row r="1242" spans="1:2" ht="14.25" customHeight="1">
      <c r="A1242" s="7">
        <v>81521068</v>
      </c>
      <c r="B1242" s="8" t="s">
        <v>891</v>
      </c>
    </row>
    <row r="1243" spans="1:2" ht="14.25" customHeight="1">
      <c r="A1243" s="7">
        <v>81521069</v>
      </c>
      <c r="B1243" s="8" t="s">
        <v>891</v>
      </c>
    </row>
    <row r="1244" spans="1:2" ht="14.25" customHeight="1">
      <c r="A1244" s="7">
        <v>81521070</v>
      </c>
      <c r="B1244" s="8" t="s">
        <v>891</v>
      </c>
    </row>
    <row r="1245" spans="1:2" ht="14.25" customHeight="1">
      <c r="A1245" s="7">
        <v>81521296</v>
      </c>
      <c r="B1245" s="8" t="s">
        <v>892</v>
      </c>
    </row>
    <row r="1246" spans="1:2" ht="14.25" customHeight="1">
      <c r="A1246" s="7">
        <v>81521297</v>
      </c>
      <c r="B1246" s="8" t="s">
        <v>892</v>
      </c>
    </row>
    <row r="1247" spans="1:2" ht="14.25" customHeight="1">
      <c r="A1247" s="7">
        <v>81520086</v>
      </c>
      <c r="B1247" s="8" t="s">
        <v>893</v>
      </c>
    </row>
    <row r="1248" spans="1:2" ht="14.25" customHeight="1">
      <c r="A1248" s="7">
        <v>8173608</v>
      </c>
      <c r="B1248" s="8" t="s">
        <v>894</v>
      </c>
    </row>
    <row r="1249" spans="1:2" ht="14.25" customHeight="1">
      <c r="A1249" s="7">
        <v>81522081</v>
      </c>
      <c r="B1249" s="8" t="s">
        <v>894</v>
      </c>
    </row>
    <row r="1250" spans="1:2" ht="14.25" customHeight="1">
      <c r="A1250" s="7">
        <v>8173187</v>
      </c>
      <c r="B1250" s="8" t="s">
        <v>895</v>
      </c>
    </row>
    <row r="1251" spans="1:2" ht="14.25" customHeight="1">
      <c r="A1251" s="7">
        <v>8173169</v>
      </c>
      <c r="B1251" s="8" t="s">
        <v>896</v>
      </c>
    </row>
    <row r="1252" spans="1:2" ht="14.25" customHeight="1">
      <c r="A1252" s="7">
        <v>8181027</v>
      </c>
      <c r="B1252" s="8" t="s">
        <v>896</v>
      </c>
    </row>
    <row r="1253" spans="1:2" ht="14.25" customHeight="1">
      <c r="A1253" s="7">
        <v>8181032</v>
      </c>
      <c r="B1253" s="8" t="s">
        <v>896</v>
      </c>
    </row>
    <row r="1254" spans="1:2" ht="14.25" customHeight="1">
      <c r="A1254" s="7">
        <v>81521510</v>
      </c>
      <c r="B1254" s="8" t="s">
        <v>897</v>
      </c>
    </row>
    <row r="1255" spans="1:2" ht="14.25" customHeight="1">
      <c r="A1255" s="7">
        <v>81519219</v>
      </c>
      <c r="B1255" s="8" t="s">
        <v>898</v>
      </c>
    </row>
    <row r="1256" spans="1:2" ht="14.25" customHeight="1">
      <c r="A1256" s="7">
        <v>81521315</v>
      </c>
      <c r="B1256" s="8" t="s">
        <v>898</v>
      </c>
    </row>
    <row r="1257" spans="1:2" ht="14.25" customHeight="1">
      <c r="A1257" s="7">
        <v>81521316</v>
      </c>
      <c r="B1257" s="8" t="s">
        <v>898</v>
      </c>
    </row>
    <row r="1258" spans="1:2" ht="14.25" customHeight="1">
      <c r="A1258" s="7">
        <v>81521317</v>
      </c>
      <c r="B1258" s="8" t="s">
        <v>898</v>
      </c>
    </row>
    <row r="1259" spans="1:2" ht="14.25" customHeight="1">
      <c r="A1259" s="7">
        <v>81521294</v>
      </c>
      <c r="B1259" s="8" t="s">
        <v>899</v>
      </c>
    </row>
    <row r="1260" spans="1:2" ht="14.25" customHeight="1">
      <c r="A1260" s="7">
        <v>81521331</v>
      </c>
      <c r="B1260" s="8" t="s">
        <v>899</v>
      </c>
    </row>
    <row r="1261" spans="1:2" ht="14.25" customHeight="1">
      <c r="A1261" s="7">
        <v>81521332</v>
      </c>
      <c r="B1261" s="8" t="s">
        <v>899</v>
      </c>
    </row>
    <row r="1262" spans="1:2" ht="14.25" customHeight="1">
      <c r="A1262" s="7">
        <v>81521334</v>
      </c>
      <c r="B1262" s="8" t="s">
        <v>899</v>
      </c>
    </row>
    <row r="1263" spans="1:2" ht="14.25" customHeight="1">
      <c r="A1263" s="7">
        <v>81521335</v>
      </c>
      <c r="B1263" s="8" t="s">
        <v>899</v>
      </c>
    </row>
    <row r="1264" spans="1:2" ht="14.25" customHeight="1">
      <c r="A1264" s="7">
        <v>17320832</v>
      </c>
      <c r="B1264" s="8" t="s">
        <v>900</v>
      </c>
    </row>
    <row r="1265" spans="1:2" ht="14.25" customHeight="1">
      <c r="A1265" s="7">
        <v>17320833</v>
      </c>
      <c r="B1265" s="8" t="s">
        <v>900</v>
      </c>
    </row>
    <row r="1266" spans="1:2" ht="14.25" customHeight="1">
      <c r="A1266" s="7">
        <v>17320834</v>
      </c>
      <c r="B1266" s="8" t="s">
        <v>900</v>
      </c>
    </row>
    <row r="1267" spans="1:2" ht="14.25" customHeight="1">
      <c r="A1267" s="7">
        <v>17320835</v>
      </c>
      <c r="B1267" s="8" t="s">
        <v>900</v>
      </c>
    </row>
    <row r="1268" spans="1:2" ht="14.25" customHeight="1">
      <c r="A1268" s="7">
        <v>17320836</v>
      </c>
      <c r="B1268" s="8" t="s">
        <v>900</v>
      </c>
    </row>
    <row r="1269" spans="1:2" ht="14.25" customHeight="1">
      <c r="A1269" s="7">
        <v>17320837</v>
      </c>
      <c r="B1269" s="8" t="s">
        <v>900</v>
      </c>
    </row>
    <row r="1270" spans="1:2" ht="14.25" customHeight="1">
      <c r="A1270" s="7">
        <v>8173283</v>
      </c>
      <c r="B1270" s="8" t="s">
        <v>901</v>
      </c>
    </row>
    <row r="1271" spans="1:2" ht="14.25" customHeight="1">
      <c r="A1271" s="7">
        <v>8173188</v>
      </c>
      <c r="B1271" s="8" t="s">
        <v>902</v>
      </c>
    </row>
    <row r="1272" spans="1:2" ht="14.25" customHeight="1">
      <c r="A1272" s="7">
        <v>8173157</v>
      </c>
      <c r="B1272" s="8" t="s">
        <v>903</v>
      </c>
    </row>
    <row r="1273" spans="1:2" ht="14.25" customHeight="1">
      <c r="A1273" s="7">
        <v>8173151</v>
      </c>
      <c r="B1273" s="8" t="s">
        <v>904</v>
      </c>
    </row>
    <row r="1274" spans="1:2" ht="14.25" customHeight="1">
      <c r="A1274" s="7">
        <v>8173178</v>
      </c>
      <c r="B1274" s="8" t="s">
        <v>904</v>
      </c>
    </row>
    <row r="1275" spans="1:2" ht="14.25" customHeight="1">
      <c r="A1275" s="7">
        <v>81521320</v>
      </c>
      <c r="B1275" s="8" t="s">
        <v>905</v>
      </c>
    </row>
    <row r="1276" spans="1:2" ht="14.25" customHeight="1">
      <c r="A1276" s="7">
        <v>81521321</v>
      </c>
      <c r="B1276" s="8" t="s">
        <v>905</v>
      </c>
    </row>
    <row r="1277" spans="1:2" ht="14.25" customHeight="1">
      <c r="A1277" s="7">
        <v>81521324</v>
      </c>
      <c r="B1277" s="8" t="s">
        <v>905</v>
      </c>
    </row>
    <row r="1278" spans="1:2" ht="14.25" customHeight="1">
      <c r="A1278" s="7">
        <v>81519196</v>
      </c>
      <c r="B1278" s="8" t="s">
        <v>906</v>
      </c>
    </row>
    <row r="1279" spans="1:2" ht="14.25" customHeight="1">
      <c r="A1279" s="7">
        <v>81519197</v>
      </c>
      <c r="B1279" s="8" t="s">
        <v>906</v>
      </c>
    </row>
    <row r="1280" spans="1:2" ht="14.25" customHeight="1">
      <c r="A1280" s="7">
        <v>81521015</v>
      </c>
      <c r="B1280" s="8" t="s">
        <v>907</v>
      </c>
    </row>
    <row r="1281" spans="1:2" ht="14.25" customHeight="1">
      <c r="A1281" s="7">
        <v>81521024</v>
      </c>
      <c r="B1281" s="8" t="s">
        <v>907</v>
      </c>
    </row>
    <row r="1282" spans="1:2" ht="14.25" customHeight="1">
      <c r="A1282" s="7">
        <v>81521026</v>
      </c>
      <c r="B1282" s="8" t="s">
        <v>907</v>
      </c>
    </row>
    <row r="1283" spans="1:2" ht="14.25" customHeight="1">
      <c r="A1283" s="7">
        <v>81521027</v>
      </c>
      <c r="B1283" s="8" t="s">
        <v>907</v>
      </c>
    </row>
    <row r="1284" spans="1:2" ht="14.25" customHeight="1">
      <c r="A1284" s="7">
        <v>81521030</v>
      </c>
      <c r="B1284" s="8" t="s">
        <v>907</v>
      </c>
    </row>
    <row r="1285" spans="1:2" ht="14.25" customHeight="1">
      <c r="A1285" s="7">
        <v>81521031</v>
      </c>
      <c r="B1285" s="8" t="s">
        <v>907</v>
      </c>
    </row>
    <row r="1286" spans="1:2" ht="14.25" customHeight="1">
      <c r="A1286" s="7">
        <v>81521032</v>
      </c>
      <c r="B1286" s="8" t="s">
        <v>907</v>
      </c>
    </row>
    <row r="1287" spans="1:2" ht="14.25" customHeight="1">
      <c r="A1287" s="7">
        <v>81521033</v>
      </c>
      <c r="B1287" s="8" t="s">
        <v>907</v>
      </c>
    </row>
    <row r="1288" spans="1:2" ht="14.25" customHeight="1">
      <c r="A1288" s="7">
        <v>81521034</v>
      </c>
      <c r="B1288" s="8" t="s">
        <v>907</v>
      </c>
    </row>
    <row r="1289" spans="1:2" ht="14.25" customHeight="1">
      <c r="A1289" s="7">
        <v>81521035</v>
      </c>
      <c r="B1289" s="8" t="s">
        <v>907</v>
      </c>
    </row>
    <row r="1290" spans="1:2" ht="14.25" customHeight="1">
      <c r="A1290" s="7">
        <v>81521036</v>
      </c>
      <c r="B1290" s="8" t="s">
        <v>907</v>
      </c>
    </row>
    <row r="1291" spans="1:2" ht="14.25" customHeight="1">
      <c r="A1291" s="7">
        <v>81521037</v>
      </c>
      <c r="B1291" s="8" t="s">
        <v>907</v>
      </c>
    </row>
    <row r="1292" spans="1:2" ht="14.25" customHeight="1">
      <c r="A1292" s="7">
        <v>81521038</v>
      </c>
      <c r="B1292" s="8" t="s">
        <v>907</v>
      </c>
    </row>
    <row r="1293" spans="1:2" ht="14.25" customHeight="1">
      <c r="A1293" s="7">
        <v>81521039</v>
      </c>
      <c r="B1293" s="8" t="s">
        <v>907</v>
      </c>
    </row>
    <row r="1294" spans="1:2" ht="14.25" customHeight="1">
      <c r="A1294" s="7">
        <v>81521040</v>
      </c>
      <c r="B1294" s="8" t="s">
        <v>907</v>
      </c>
    </row>
    <row r="1295" spans="1:2" ht="14.25" customHeight="1">
      <c r="A1295" s="7">
        <v>81521041</v>
      </c>
      <c r="B1295" s="8" t="s">
        <v>907</v>
      </c>
    </row>
    <row r="1296" spans="1:2" ht="14.25" customHeight="1">
      <c r="A1296" s="7">
        <v>81521042</v>
      </c>
      <c r="B1296" s="8" t="s">
        <v>907</v>
      </c>
    </row>
    <row r="1297" spans="1:2" ht="14.25" customHeight="1">
      <c r="A1297" s="7">
        <v>81521043</v>
      </c>
      <c r="B1297" s="8" t="s">
        <v>907</v>
      </c>
    </row>
    <row r="1298" spans="1:2" ht="14.25" customHeight="1">
      <c r="A1298" s="7">
        <v>81521044</v>
      </c>
      <c r="B1298" s="8" t="s">
        <v>907</v>
      </c>
    </row>
    <row r="1299" spans="1:2" ht="14.25" customHeight="1">
      <c r="A1299" s="7">
        <v>81521045</v>
      </c>
      <c r="B1299" s="8" t="s">
        <v>907</v>
      </c>
    </row>
    <row r="1300" spans="1:2" ht="14.25" customHeight="1">
      <c r="A1300" s="7">
        <v>25530033</v>
      </c>
      <c r="B1300" s="8" t="s">
        <v>908</v>
      </c>
    </row>
    <row r="1301" spans="1:2" ht="14.25" customHeight="1">
      <c r="A1301" s="7">
        <v>25530034</v>
      </c>
      <c r="B1301" s="8" t="s">
        <v>908</v>
      </c>
    </row>
    <row r="1302" spans="1:2" ht="14.25" customHeight="1">
      <c r="A1302" s="7">
        <v>25530035</v>
      </c>
      <c r="B1302" s="8" t="s">
        <v>908</v>
      </c>
    </row>
    <row r="1303" spans="1:2" ht="14.25" customHeight="1">
      <c r="A1303" s="7">
        <v>25530036</v>
      </c>
      <c r="B1303" s="8" t="s">
        <v>908</v>
      </c>
    </row>
    <row r="1304" spans="1:2" ht="14.25" customHeight="1">
      <c r="A1304" s="7">
        <v>25530037</v>
      </c>
      <c r="B1304" s="8" t="s">
        <v>908</v>
      </c>
    </row>
    <row r="1305" spans="1:2" ht="14.25" customHeight="1">
      <c r="A1305" s="7">
        <v>25530038</v>
      </c>
      <c r="B1305" s="8" t="s">
        <v>908</v>
      </c>
    </row>
    <row r="1306" spans="1:2" ht="14.25" customHeight="1">
      <c r="A1306" s="7">
        <v>25530039</v>
      </c>
      <c r="B1306" s="8" t="s">
        <v>908</v>
      </c>
    </row>
    <row r="1307" spans="1:2" ht="14.25" customHeight="1">
      <c r="A1307" s="7">
        <v>25530040</v>
      </c>
      <c r="B1307" s="8" t="s">
        <v>908</v>
      </c>
    </row>
    <row r="1308" spans="1:2" ht="14.25" customHeight="1">
      <c r="A1308" s="7">
        <v>25530041</v>
      </c>
      <c r="B1308" s="8" t="s">
        <v>908</v>
      </c>
    </row>
    <row r="1309" spans="1:2" ht="14.25" customHeight="1">
      <c r="A1309" s="7">
        <v>25530042</v>
      </c>
      <c r="B1309" s="8" t="s">
        <v>908</v>
      </c>
    </row>
    <row r="1310" spans="1:2" ht="14.25" customHeight="1">
      <c r="A1310" s="7">
        <v>25530043</v>
      </c>
      <c r="B1310" s="8" t="s">
        <v>908</v>
      </c>
    </row>
    <row r="1311" spans="1:2" ht="14.25" customHeight="1">
      <c r="A1311" s="7">
        <v>25530044</v>
      </c>
      <c r="B1311" s="8" t="s">
        <v>908</v>
      </c>
    </row>
    <row r="1312" spans="1:2" ht="14.25" customHeight="1">
      <c r="A1312" s="7">
        <v>25530045</v>
      </c>
      <c r="B1312" s="8" t="s">
        <v>908</v>
      </c>
    </row>
    <row r="1313" spans="1:2" ht="14.25" customHeight="1">
      <c r="A1313" s="7">
        <v>25530046</v>
      </c>
      <c r="B1313" s="8" t="s">
        <v>908</v>
      </c>
    </row>
    <row r="1314" spans="1:2" ht="14.25" customHeight="1">
      <c r="A1314" s="7">
        <v>25530047</v>
      </c>
      <c r="B1314" s="8" t="s">
        <v>908</v>
      </c>
    </row>
    <row r="1315" spans="1:2" ht="14.25" customHeight="1">
      <c r="A1315" s="7">
        <v>25530048</v>
      </c>
      <c r="B1315" s="8" t="s">
        <v>908</v>
      </c>
    </row>
    <row r="1316" spans="1:2" ht="14.25" customHeight="1">
      <c r="A1316" s="7">
        <v>25530049</v>
      </c>
      <c r="B1316" s="8" t="s">
        <v>908</v>
      </c>
    </row>
    <row r="1317" spans="1:2" ht="14.25" customHeight="1">
      <c r="A1317" s="7">
        <v>25530050</v>
      </c>
      <c r="B1317" s="8" t="s">
        <v>908</v>
      </c>
    </row>
    <row r="1318" spans="1:2" ht="14.25" customHeight="1">
      <c r="A1318" s="7">
        <v>25530051</v>
      </c>
      <c r="B1318" s="8" t="s">
        <v>908</v>
      </c>
    </row>
    <row r="1319" spans="1:2" ht="14.25" customHeight="1">
      <c r="A1319" s="7">
        <v>25530052</v>
      </c>
      <c r="B1319" s="8" t="s">
        <v>908</v>
      </c>
    </row>
    <row r="1320" spans="1:2" ht="14.25" customHeight="1">
      <c r="A1320" s="7">
        <v>25530053</v>
      </c>
      <c r="B1320" s="8" t="s">
        <v>908</v>
      </c>
    </row>
    <row r="1321" spans="1:2" ht="14.25" customHeight="1">
      <c r="A1321" s="7">
        <v>25530054</v>
      </c>
      <c r="B1321" s="8" t="s">
        <v>908</v>
      </c>
    </row>
    <row r="1322" spans="1:2" ht="14.25" customHeight="1">
      <c r="A1322" s="7">
        <v>25530055</v>
      </c>
      <c r="B1322" s="8" t="s">
        <v>908</v>
      </c>
    </row>
    <row r="1323" spans="1:2" ht="14.25" customHeight="1">
      <c r="A1323" s="7">
        <v>25530056</v>
      </c>
      <c r="B1323" s="8" t="s">
        <v>908</v>
      </c>
    </row>
    <row r="1324" spans="1:2" ht="14.25" customHeight="1">
      <c r="A1324" s="7">
        <v>25530057</v>
      </c>
      <c r="B1324" s="8" t="s">
        <v>908</v>
      </c>
    </row>
    <row r="1325" spans="1:2" ht="14.25" customHeight="1">
      <c r="A1325" s="7">
        <v>25530058</v>
      </c>
      <c r="B1325" s="8" t="s">
        <v>908</v>
      </c>
    </row>
    <row r="1326" spans="1:2" ht="14.25" customHeight="1">
      <c r="A1326" s="7">
        <v>25530059</v>
      </c>
      <c r="B1326" s="8" t="s">
        <v>908</v>
      </c>
    </row>
    <row r="1327" spans="1:2" ht="14.25" customHeight="1">
      <c r="A1327" s="7">
        <v>8151902</v>
      </c>
      <c r="B1327" s="8" t="s">
        <v>909</v>
      </c>
    </row>
    <row r="1328" spans="1:2" ht="14.25" customHeight="1">
      <c r="A1328" s="7">
        <v>8151908</v>
      </c>
      <c r="B1328" s="8" t="s">
        <v>909</v>
      </c>
    </row>
    <row r="1329" spans="1:2" ht="14.25" customHeight="1">
      <c r="A1329" s="7">
        <v>81519150</v>
      </c>
      <c r="B1329" s="8" t="s">
        <v>909</v>
      </c>
    </row>
    <row r="1330" spans="1:2" ht="14.25" customHeight="1">
      <c r="A1330" s="7">
        <v>81519151</v>
      </c>
      <c r="B1330" s="8" t="s">
        <v>909</v>
      </c>
    </row>
    <row r="1331" spans="1:2" ht="14.25" customHeight="1">
      <c r="A1331" s="7">
        <v>81521345</v>
      </c>
      <c r="B1331" s="8" t="s">
        <v>909</v>
      </c>
    </row>
    <row r="1332" spans="1:2" ht="14.25" customHeight="1">
      <c r="A1332" s="7">
        <v>81521346</v>
      </c>
      <c r="B1332" s="8" t="s">
        <v>909</v>
      </c>
    </row>
    <row r="1333" spans="1:2" ht="14.25" customHeight="1">
      <c r="A1333" s="7">
        <v>81521352</v>
      </c>
      <c r="B1333" s="8" t="s">
        <v>909</v>
      </c>
    </row>
    <row r="1334" spans="1:2" ht="14.25" customHeight="1">
      <c r="A1334" s="7">
        <v>81521353</v>
      </c>
      <c r="B1334" s="8" t="s">
        <v>909</v>
      </c>
    </row>
    <row r="1335" spans="1:2" ht="14.25" customHeight="1">
      <c r="A1335" s="7">
        <v>81521354</v>
      </c>
      <c r="B1335" s="8" t="s">
        <v>909</v>
      </c>
    </row>
    <row r="1336" spans="1:2" ht="14.25" customHeight="1">
      <c r="A1336" s="7">
        <v>81521355</v>
      </c>
      <c r="B1336" s="8" t="s">
        <v>909</v>
      </c>
    </row>
    <row r="1337" spans="1:2" ht="14.25" customHeight="1">
      <c r="A1337" s="7">
        <v>81521356</v>
      </c>
      <c r="B1337" s="8" t="s">
        <v>909</v>
      </c>
    </row>
    <row r="1338" spans="1:2" ht="14.25" customHeight="1">
      <c r="A1338" s="7">
        <v>81521357</v>
      </c>
      <c r="B1338" s="8" t="s">
        <v>909</v>
      </c>
    </row>
    <row r="1339" spans="1:2" ht="14.25" customHeight="1">
      <c r="A1339" s="7">
        <v>81521358</v>
      </c>
      <c r="B1339" s="8" t="s">
        <v>909</v>
      </c>
    </row>
    <row r="1340" spans="1:2" ht="14.25" customHeight="1">
      <c r="A1340" s="7">
        <v>81521359</v>
      </c>
      <c r="B1340" s="8" t="s">
        <v>909</v>
      </c>
    </row>
    <row r="1341" spans="1:2" ht="14.25" customHeight="1">
      <c r="A1341" s="7">
        <v>81521360</v>
      </c>
      <c r="B1341" s="8" t="s">
        <v>909</v>
      </c>
    </row>
    <row r="1342" spans="1:2" ht="14.25" customHeight="1">
      <c r="A1342" s="7">
        <v>81521361</v>
      </c>
      <c r="B1342" s="8" t="s">
        <v>909</v>
      </c>
    </row>
    <row r="1343" spans="1:2" ht="14.25" customHeight="1">
      <c r="A1343" s="7">
        <v>81521362</v>
      </c>
      <c r="B1343" s="8" t="s">
        <v>909</v>
      </c>
    </row>
    <row r="1344" spans="1:2" ht="14.25" customHeight="1">
      <c r="A1344" s="7">
        <v>81521363</v>
      </c>
      <c r="B1344" s="8" t="s">
        <v>909</v>
      </c>
    </row>
    <row r="1345" spans="1:2" ht="14.25" customHeight="1">
      <c r="A1345" s="7">
        <v>81521364</v>
      </c>
      <c r="B1345" s="8" t="s">
        <v>909</v>
      </c>
    </row>
    <row r="1346" spans="1:2" ht="14.25" customHeight="1">
      <c r="A1346" s="7">
        <v>81521365</v>
      </c>
      <c r="B1346" s="8" t="s">
        <v>909</v>
      </c>
    </row>
    <row r="1347" spans="1:2" ht="14.25" customHeight="1">
      <c r="A1347" s="7">
        <v>81521366</v>
      </c>
      <c r="B1347" s="8" t="s">
        <v>909</v>
      </c>
    </row>
    <row r="1348" spans="1:2" ht="14.25" customHeight="1">
      <c r="A1348" s="7">
        <v>81521367</v>
      </c>
      <c r="B1348" s="8" t="s">
        <v>909</v>
      </c>
    </row>
    <row r="1349" spans="1:2" ht="14.25" customHeight="1">
      <c r="A1349" s="7">
        <v>81521368</v>
      </c>
      <c r="B1349" s="8" t="s">
        <v>909</v>
      </c>
    </row>
    <row r="1350" spans="1:2" ht="14.25" customHeight="1">
      <c r="A1350" s="7">
        <v>81521369</v>
      </c>
      <c r="B1350" s="8" t="s">
        <v>909</v>
      </c>
    </row>
    <row r="1351" spans="1:2" ht="14.25" customHeight="1">
      <c r="A1351" s="7">
        <v>81521370</v>
      </c>
      <c r="B1351" s="8" t="s">
        <v>909</v>
      </c>
    </row>
    <row r="1352" spans="1:2" ht="14.25" customHeight="1">
      <c r="A1352" s="7">
        <v>81521371</v>
      </c>
      <c r="B1352" s="8" t="s">
        <v>909</v>
      </c>
    </row>
    <row r="1353" spans="1:2" ht="14.25" customHeight="1">
      <c r="A1353" s="7">
        <v>81521372</v>
      </c>
      <c r="B1353" s="8" t="s">
        <v>909</v>
      </c>
    </row>
    <row r="1354" spans="1:2" ht="14.25" customHeight="1">
      <c r="A1354" s="7">
        <v>81521373</v>
      </c>
      <c r="B1354" s="8" t="s">
        <v>909</v>
      </c>
    </row>
    <row r="1355" spans="1:2" ht="14.25" customHeight="1">
      <c r="A1355" s="7">
        <v>81521374</v>
      </c>
      <c r="B1355" s="8" t="s">
        <v>909</v>
      </c>
    </row>
    <row r="1356" spans="1:2" ht="14.25" customHeight="1">
      <c r="A1356" s="7">
        <v>81521375</v>
      </c>
      <c r="B1356" s="8" t="s">
        <v>909</v>
      </c>
    </row>
    <row r="1357" spans="1:2" ht="14.25" customHeight="1">
      <c r="A1357" s="7">
        <v>81521376</v>
      </c>
      <c r="B1357" s="8" t="s">
        <v>909</v>
      </c>
    </row>
    <row r="1358" spans="1:2" ht="14.25" customHeight="1">
      <c r="A1358" s="7">
        <v>81521377</v>
      </c>
      <c r="B1358" s="8" t="s">
        <v>909</v>
      </c>
    </row>
    <row r="1359" spans="1:2" ht="14.25" customHeight="1">
      <c r="A1359" s="7">
        <v>81521093</v>
      </c>
      <c r="B1359" s="8" t="s">
        <v>910</v>
      </c>
    </row>
    <row r="1360" spans="1:2" ht="14.25" customHeight="1">
      <c r="A1360" s="7">
        <v>33260001</v>
      </c>
      <c r="B1360" s="8" t="s">
        <v>911</v>
      </c>
    </row>
    <row r="1361" spans="1:2" ht="14.25" customHeight="1">
      <c r="A1361" s="7">
        <v>23260001</v>
      </c>
      <c r="B1361" s="8" t="s">
        <v>912</v>
      </c>
    </row>
    <row r="1362" spans="1:2" ht="14.25" customHeight="1">
      <c r="A1362" s="7">
        <v>15770015</v>
      </c>
      <c r="B1362" s="8" t="s">
        <v>913</v>
      </c>
    </row>
    <row r="1363" spans="1:2" ht="14.25" customHeight="1">
      <c r="A1363" s="7">
        <v>15770018</v>
      </c>
      <c r="B1363" s="8" t="s">
        <v>913</v>
      </c>
    </row>
    <row r="1364" spans="1:2" ht="14.25" customHeight="1">
      <c r="A1364" s="7">
        <v>15770019</v>
      </c>
      <c r="B1364" s="8" t="s">
        <v>913</v>
      </c>
    </row>
    <row r="1365" spans="1:2" ht="14.25" customHeight="1">
      <c r="A1365" s="7">
        <v>15770023</v>
      </c>
      <c r="B1365" s="8" t="s">
        <v>913</v>
      </c>
    </row>
    <row r="1366" spans="1:2" ht="14.25" customHeight="1">
      <c r="A1366" s="7">
        <v>15770024</v>
      </c>
      <c r="B1366" s="8" t="s">
        <v>913</v>
      </c>
    </row>
    <row r="1367" spans="1:2" ht="14.25" customHeight="1">
      <c r="A1367" s="7">
        <v>15770028</v>
      </c>
      <c r="B1367" s="8" t="s">
        <v>913</v>
      </c>
    </row>
    <row r="1368" spans="1:2" ht="14.25" customHeight="1">
      <c r="A1368" s="7">
        <v>15770029</v>
      </c>
      <c r="B1368" s="8" t="s">
        <v>913</v>
      </c>
    </row>
    <row r="1369" spans="1:2" ht="14.25" customHeight="1">
      <c r="A1369" s="7">
        <v>15770030</v>
      </c>
      <c r="B1369" s="8" t="s">
        <v>913</v>
      </c>
    </row>
    <row r="1370" spans="1:2" ht="14.25" customHeight="1">
      <c r="A1370" s="7">
        <v>15770031</v>
      </c>
      <c r="B1370" s="8" t="s">
        <v>913</v>
      </c>
    </row>
    <row r="1371" spans="1:2" ht="14.25" customHeight="1">
      <c r="A1371" s="7">
        <v>15770032</v>
      </c>
      <c r="B1371" s="8" t="s">
        <v>913</v>
      </c>
    </row>
    <row r="1372" spans="1:2" ht="14.25" customHeight="1">
      <c r="A1372" s="7">
        <v>15770033</v>
      </c>
      <c r="B1372" s="8" t="s">
        <v>913</v>
      </c>
    </row>
    <row r="1373" spans="1:2" ht="14.25" customHeight="1">
      <c r="A1373" s="7">
        <v>15770037</v>
      </c>
      <c r="B1373" s="8" t="s">
        <v>913</v>
      </c>
    </row>
    <row r="1374" spans="1:2" ht="14.25" customHeight="1">
      <c r="A1374" s="7">
        <v>15770038</v>
      </c>
      <c r="B1374" s="8" t="s">
        <v>913</v>
      </c>
    </row>
    <row r="1375" spans="1:2" ht="14.25" customHeight="1">
      <c r="A1375" s="7">
        <v>81521498</v>
      </c>
      <c r="B1375" s="8" t="s">
        <v>914</v>
      </c>
    </row>
    <row r="1376" spans="1:2" ht="14.25" customHeight="1">
      <c r="A1376" s="7">
        <v>17320829</v>
      </c>
      <c r="B1376" s="8" t="s">
        <v>915</v>
      </c>
    </row>
    <row r="1377" spans="1:2" ht="14.25" customHeight="1">
      <c r="A1377" s="7">
        <v>17320786</v>
      </c>
      <c r="B1377" s="8" t="s">
        <v>916</v>
      </c>
    </row>
    <row r="1378" spans="1:2" ht="14.25" customHeight="1">
      <c r="A1378" s="7">
        <v>8173370</v>
      </c>
      <c r="B1378" s="8" t="s">
        <v>917</v>
      </c>
    </row>
    <row r="1379" spans="1:2" ht="14.25" customHeight="1">
      <c r="A1379" s="7">
        <v>8173371</v>
      </c>
      <c r="B1379" s="8" t="s">
        <v>917</v>
      </c>
    </row>
    <row r="1380" spans="1:2" ht="14.25" customHeight="1">
      <c r="A1380" s="7">
        <v>8173372</v>
      </c>
      <c r="B1380" s="8" t="s">
        <v>917</v>
      </c>
    </row>
    <row r="1381" spans="1:2" ht="14.25" customHeight="1">
      <c r="A1381" s="7">
        <v>8173375</v>
      </c>
      <c r="B1381" s="8" t="s">
        <v>917</v>
      </c>
    </row>
    <row r="1382" spans="1:2" ht="14.25" customHeight="1">
      <c r="A1382" s="7">
        <v>8173598</v>
      </c>
      <c r="B1382" s="8" t="s">
        <v>917</v>
      </c>
    </row>
    <row r="1383" spans="1:2" ht="14.25" customHeight="1">
      <c r="A1383" s="7">
        <v>81521251</v>
      </c>
      <c r="B1383" s="8" t="s">
        <v>917</v>
      </c>
    </row>
    <row r="1384" spans="1:2" ht="14.25" customHeight="1">
      <c r="A1384" s="7">
        <v>81521098</v>
      </c>
      <c r="B1384" s="8" t="s">
        <v>918</v>
      </c>
    </row>
    <row r="1385" spans="1:2" ht="14.25" customHeight="1">
      <c r="A1385" s="7">
        <v>8173093</v>
      </c>
      <c r="B1385" s="8" t="s">
        <v>919</v>
      </c>
    </row>
    <row r="1386" spans="1:2" ht="14.25" customHeight="1">
      <c r="A1386" s="7">
        <v>1731643</v>
      </c>
      <c r="B1386" s="8" t="s">
        <v>920</v>
      </c>
    </row>
    <row r="1387" spans="1:2" ht="14.25" customHeight="1">
      <c r="A1387" s="7">
        <v>31521021</v>
      </c>
      <c r="B1387" s="8" t="s">
        <v>920</v>
      </c>
    </row>
    <row r="1388" spans="1:2" ht="14.25" customHeight="1">
      <c r="A1388" s="7">
        <v>31521023</v>
      </c>
      <c r="B1388" s="8" t="s">
        <v>920</v>
      </c>
    </row>
    <row r="1389" spans="1:2" ht="14.25" customHeight="1">
      <c r="A1389" s="7">
        <v>31521009</v>
      </c>
      <c r="B1389" s="8" t="s">
        <v>921</v>
      </c>
    </row>
    <row r="1390" spans="1:2" ht="14.25" customHeight="1">
      <c r="A1390" s="7">
        <v>31521010</v>
      </c>
      <c r="B1390" s="8" t="s">
        <v>921</v>
      </c>
    </row>
    <row r="1391" spans="1:2" ht="14.25" customHeight="1">
      <c r="A1391" s="7">
        <v>31521011</v>
      </c>
      <c r="B1391" s="8" t="s">
        <v>921</v>
      </c>
    </row>
    <row r="1392" spans="1:2" ht="14.25" customHeight="1">
      <c r="A1392" s="7">
        <v>31521012</v>
      </c>
      <c r="B1392" s="8" t="s">
        <v>921</v>
      </c>
    </row>
    <row r="1393" spans="1:2" ht="14.25" customHeight="1">
      <c r="A1393" s="7">
        <v>31521013</v>
      </c>
      <c r="B1393" s="8" t="s">
        <v>921</v>
      </c>
    </row>
    <row r="1394" spans="1:2" ht="14.25" customHeight="1">
      <c r="A1394" s="7">
        <v>31521014</v>
      </c>
      <c r="B1394" s="8" t="s">
        <v>921</v>
      </c>
    </row>
    <row r="1395" spans="1:2" ht="14.25" customHeight="1">
      <c r="A1395" s="7">
        <v>31521015</v>
      </c>
      <c r="B1395" s="8" t="s">
        <v>921</v>
      </c>
    </row>
    <row r="1396" spans="1:2" ht="14.25" customHeight="1">
      <c r="A1396" s="7">
        <v>31521016</v>
      </c>
      <c r="B1396" s="8" t="s">
        <v>921</v>
      </c>
    </row>
    <row r="1397" spans="1:2" ht="14.25" customHeight="1">
      <c r="A1397" s="7">
        <v>31521017</v>
      </c>
      <c r="B1397" s="8" t="s">
        <v>921</v>
      </c>
    </row>
    <row r="1398" spans="1:2" ht="14.25" customHeight="1">
      <c r="A1398" s="7">
        <v>31521018</v>
      </c>
      <c r="B1398" s="8" t="s">
        <v>921</v>
      </c>
    </row>
    <row r="1399" spans="1:2" ht="14.25" customHeight="1">
      <c r="A1399" s="7">
        <v>31521019</v>
      </c>
      <c r="B1399" s="8" t="s">
        <v>921</v>
      </c>
    </row>
    <row r="1400" spans="1:2" ht="14.25" customHeight="1">
      <c r="A1400" s="7">
        <v>31521020</v>
      </c>
      <c r="B1400" s="8" t="s">
        <v>921</v>
      </c>
    </row>
    <row r="1401" spans="1:2" ht="14.25" customHeight="1">
      <c r="A1401" s="7">
        <v>31521024</v>
      </c>
      <c r="B1401" s="8" t="s">
        <v>921</v>
      </c>
    </row>
    <row r="1402" spans="1:2" ht="14.25" customHeight="1">
      <c r="A1402" s="7">
        <v>31521025</v>
      </c>
      <c r="B1402" s="8" t="s">
        <v>921</v>
      </c>
    </row>
    <row r="1403" spans="1:2" ht="14.25" customHeight="1">
      <c r="A1403" s="7">
        <v>31521026</v>
      </c>
      <c r="B1403" s="8" t="s">
        <v>921</v>
      </c>
    </row>
    <row r="1404" spans="1:2" ht="14.25" customHeight="1">
      <c r="A1404" s="7">
        <v>31521027</v>
      </c>
      <c r="B1404" s="8" t="s">
        <v>921</v>
      </c>
    </row>
    <row r="1405" spans="1:2" ht="14.25" customHeight="1">
      <c r="A1405" s="7">
        <v>31521028</v>
      </c>
      <c r="B1405" s="8" t="s">
        <v>921</v>
      </c>
    </row>
    <row r="1406" spans="1:2" ht="14.25" customHeight="1">
      <c r="A1406" s="7">
        <v>31521029</v>
      </c>
      <c r="B1406" s="8" t="s">
        <v>921</v>
      </c>
    </row>
    <row r="1407" spans="1:2" ht="14.25" customHeight="1">
      <c r="A1407" s="7">
        <v>31521030</v>
      </c>
      <c r="B1407" s="8" t="s">
        <v>921</v>
      </c>
    </row>
    <row r="1408" spans="1:2" ht="14.25" customHeight="1">
      <c r="A1408" s="7">
        <v>31521031</v>
      </c>
      <c r="B1408" s="8" t="s">
        <v>921</v>
      </c>
    </row>
    <row r="1409" spans="1:2" ht="14.25" customHeight="1">
      <c r="A1409" s="7">
        <v>31521045</v>
      </c>
      <c r="B1409" s="8" t="s">
        <v>921</v>
      </c>
    </row>
    <row r="1410" spans="1:2" ht="14.25" customHeight="1">
      <c r="A1410" s="7">
        <v>31521046</v>
      </c>
      <c r="B1410" s="8" t="s">
        <v>921</v>
      </c>
    </row>
    <row r="1411" spans="1:2" ht="14.25" customHeight="1">
      <c r="A1411" s="7">
        <v>35005012</v>
      </c>
      <c r="B1411" s="8" t="s">
        <v>921</v>
      </c>
    </row>
    <row r="1412" spans="1:2" ht="14.25" customHeight="1">
      <c r="A1412" s="7">
        <v>35005014</v>
      </c>
      <c r="B1412" s="8" t="s">
        <v>921</v>
      </c>
    </row>
    <row r="1413" spans="1:2" ht="14.25" customHeight="1">
      <c r="A1413" s="7">
        <v>35005015</v>
      </c>
      <c r="B1413" s="8" t="s">
        <v>921</v>
      </c>
    </row>
    <row r="1414" spans="1:2" ht="14.25" customHeight="1">
      <c r="A1414" s="7">
        <v>35005016</v>
      </c>
      <c r="B1414" s="8" t="s">
        <v>921</v>
      </c>
    </row>
    <row r="1415" spans="1:2" ht="14.25" customHeight="1">
      <c r="A1415" s="7">
        <v>35009001</v>
      </c>
      <c r="B1415" s="8" t="s">
        <v>921</v>
      </c>
    </row>
    <row r="1416" spans="1:2" ht="14.25" customHeight="1">
      <c r="A1416" s="7">
        <v>3173040</v>
      </c>
      <c r="B1416" s="8" t="s">
        <v>922</v>
      </c>
    </row>
    <row r="1417" spans="1:2" ht="14.25" customHeight="1">
      <c r="A1417" s="7">
        <v>3173044</v>
      </c>
      <c r="B1417" s="8" t="s">
        <v>922</v>
      </c>
    </row>
    <row r="1418" spans="1:2" ht="14.25" customHeight="1">
      <c r="A1418" s="7">
        <v>3173046</v>
      </c>
      <c r="B1418" s="8" t="s">
        <v>922</v>
      </c>
    </row>
    <row r="1419" spans="1:2" ht="14.25" customHeight="1">
      <c r="A1419" s="7">
        <v>3173047</v>
      </c>
      <c r="B1419" s="8" t="s">
        <v>922</v>
      </c>
    </row>
    <row r="1420" spans="1:2" ht="14.25" customHeight="1">
      <c r="A1420" s="7">
        <v>35014004</v>
      </c>
      <c r="B1420" s="8" t="s">
        <v>922</v>
      </c>
    </row>
    <row r="1421" spans="1:2" ht="14.25" customHeight="1">
      <c r="A1421" s="7">
        <v>13130033</v>
      </c>
      <c r="B1421" s="8" t="s">
        <v>923</v>
      </c>
    </row>
    <row r="1422" spans="1:2" ht="14.25" customHeight="1">
      <c r="A1422" s="7">
        <v>13130034</v>
      </c>
      <c r="B1422" s="8" t="s">
        <v>923</v>
      </c>
    </row>
    <row r="1423" spans="1:2" ht="14.25" customHeight="1">
      <c r="A1423" s="7">
        <v>13130035</v>
      </c>
      <c r="B1423" s="8" t="s">
        <v>923</v>
      </c>
    </row>
    <row r="1424" spans="1:2" ht="14.25" customHeight="1">
      <c r="A1424" s="7">
        <v>13130036</v>
      </c>
      <c r="B1424" s="8" t="s">
        <v>923</v>
      </c>
    </row>
    <row r="1425" spans="1:2" ht="14.25" customHeight="1">
      <c r="A1425" s="7">
        <v>13130037</v>
      </c>
      <c r="B1425" s="8" t="s">
        <v>923</v>
      </c>
    </row>
    <row r="1426" spans="1:2" ht="14.25" customHeight="1">
      <c r="A1426" s="7">
        <v>13130044</v>
      </c>
      <c r="B1426" s="8" t="s">
        <v>923</v>
      </c>
    </row>
    <row r="1427" spans="1:2" ht="14.25" customHeight="1">
      <c r="A1427" s="7">
        <v>13130045</v>
      </c>
      <c r="B1427" s="8" t="s">
        <v>923</v>
      </c>
    </row>
    <row r="1428" spans="1:2" ht="14.25" customHeight="1">
      <c r="A1428" s="7">
        <v>13130046</v>
      </c>
      <c r="B1428" s="8" t="s">
        <v>923</v>
      </c>
    </row>
    <row r="1429" spans="1:2" ht="14.25" customHeight="1">
      <c r="A1429" s="7">
        <v>13130047</v>
      </c>
      <c r="B1429" s="8" t="s">
        <v>923</v>
      </c>
    </row>
    <row r="1430" spans="1:2" ht="14.25" customHeight="1">
      <c r="A1430" s="7">
        <v>43130001</v>
      </c>
      <c r="B1430" s="8" t="s">
        <v>924</v>
      </c>
    </row>
    <row r="1431" spans="1:2" ht="14.25" customHeight="1">
      <c r="A1431" s="7">
        <v>31521001</v>
      </c>
      <c r="B1431" s="8" t="s">
        <v>925</v>
      </c>
    </row>
    <row r="1432" spans="1:2" ht="14.25" customHeight="1">
      <c r="A1432" s="7">
        <v>8172156</v>
      </c>
      <c r="B1432" s="8" t="s">
        <v>926</v>
      </c>
    </row>
    <row r="1433" spans="1:2" ht="14.25" customHeight="1">
      <c r="A1433" s="7">
        <v>81521327</v>
      </c>
      <c r="B1433" s="8" t="s">
        <v>927</v>
      </c>
    </row>
    <row r="1434" spans="1:2" ht="14.25" customHeight="1">
      <c r="A1434" s="7">
        <v>12040001</v>
      </c>
      <c r="B1434" s="8" t="s">
        <v>928</v>
      </c>
    </row>
    <row r="1435" spans="1:2" ht="14.25" customHeight="1">
      <c r="A1435" s="7">
        <v>12040002</v>
      </c>
      <c r="B1435" s="8" t="s">
        <v>928</v>
      </c>
    </row>
    <row r="1436" spans="1:2" ht="14.25" customHeight="1">
      <c r="A1436" s="7">
        <v>21521022</v>
      </c>
      <c r="B1436" s="8" t="s">
        <v>928</v>
      </c>
    </row>
    <row r="1437" spans="1:2" ht="14.25" customHeight="1">
      <c r="A1437" s="7">
        <v>21521023</v>
      </c>
      <c r="B1437" s="8" t="s">
        <v>928</v>
      </c>
    </row>
    <row r="1438" spans="1:2" ht="14.25" customHeight="1">
      <c r="A1438" s="7">
        <v>21521031</v>
      </c>
      <c r="B1438" s="8" t="s">
        <v>928</v>
      </c>
    </row>
    <row r="1439" spans="1:2" ht="14.25" customHeight="1">
      <c r="A1439" s="7">
        <v>21521032</v>
      </c>
      <c r="B1439" s="8" t="s">
        <v>928</v>
      </c>
    </row>
    <row r="1440" spans="1:2" ht="14.25" customHeight="1">
      <c r="A1440" s="7">
        <v>21521036</v>
      </c>
      <c r="B1440" s="8" t="s">
        <v>928</v>
      </c>
    </row>
    <row r="1441" spans="1:2" ht="14.25" customHeight="1">
      <c r="A1441" s="7">
        <v>21521039</v>
      </c>
      <c r="B1441" s="8" t="s">
        <v>928</v>
      </c>
    </row>
    <row r="1442" spans="1:2" ht="14.25" customHeight="1">
      <c r="A1442" s="7">
        <v>25009003</v>
      </c>
      <c r="B1442" s="8" t="s">
        <v>928</v>
      </c>
    </row>
    <row r="1443" spans="1:2" ht="14.25" customHeight="1">
      <c r="A1443" s="7">
        <v>25010003</v>
      </c>
      <c r="B1443" s="8" t="s">
        <v>928</v>
      </c>
    </row>
    <row r="1444" spans="1:2" ht="14.25" customHeight="1">
      <c r="A1444" s="7">
        <v>85044030</v>
      </c>
      <c r="B1444" s="8" t="s">
        <v>928</v>
      </c>
    </row>
    <row r="1445" spans="1:2" ht="14.25" customHeight="1">
      <c r="A1445" s="7">
        <v>81521397</v>
      </c>
      <c r="B1445" s="8" t="s">
        <v>929</v>
      </c>
    </row>
    <row r="1446" spans="1:2" ht="14.25" customHeight="1">
      <c r="A1446" s="7">
        <v>15760723</v>
      </c>
      <c r="B1446" s="8" t="s">
        <v>930</v>
      </c>
    </row>
    <row r="1447" spans="1:2" ht="14.25" customHeight="1">
      <c r="A1447" s="7">
        <v>15760724</v>
      </c>
      <c r="B1447" s="8" t="s">
        <v>930</v>
      </c>
    </row>
    <row r="1448" spans="1:2" ht="14.25" customHeight="1">
      <c r="A1448" s="7">
        <v>81521512</v>
      </c>
      <c r="B1448" s="8" t="s">
        <v>931</v>
      </c>
    </row>
    <row r="1449" spans="1:2" ht="14.25" customHeight="1">
      <c r="A1449" s="7">
        <v>81521347</v>
      </c>
      <c r="B1449" s="8" t="s">
        <v>932</v>
      </c>
    </row>
    <row r="1450" spans="1:2" ht="14.25" customHeight="1">
      <c r="A1450" s="7">
        <v>8173210</v>
      </c>
      <c r="B1450" s="8" t="s">
        <v>933</v>
      </c>
    </row>
    <row r="1451" spans="1:2" ht="14.25" customHeight="1">
      <c r="A1451" s="7">
        <v>8173212</v>
      </c>
      <c r="B1451" s="8" t="s">
        <v>933</v>
      </c>
    </row>
    <row r="1452" spans="1:2" ht="14.25" customHeight="1">
      <c r="A1452" s="7">
        <v>8173213</v>
      </c>
      <c r="B1452" s="8" t="s">
        <v>933</v>
      </c>
    </row>
    <row r="1453" spans="1:2" ht="14.25" customHeight="1">
      <c r="A1453" s="7">
        <v>81522110</v>
      </c>
      <c r="B1453" s="8" t="s">
        <v>933</v>
      </c>
    </row>
    <row r="1454" spans="1:2" ht="14.25" customHeight="1">
      <c r="A1454" s="7">
        <v>81521214</v>
      </c>
      <c r="B1454" s="8" t="s">
        <v>934</v>
      </c>
    </row>
    <row r="1455" spans="1:2" ht="14.25" customHeight="1">
      <c r="A1455" s="7">
        <v>1732382</v>
      </c>
      <c r="B1455" s="8" t="s">
        <v>935</v>
      </c>
    </row>
    <row r="1456" spans="1:2" ht="14.25" customHeight="1">
      <c r="A1456" s="7">
        <v>1732395</v>
      </c>
      <c r="B1456" s="8" t="s">
        <v>935</v>
      </c>
    </row>
    <row r="1457" spans="1:2" ht="14.25" customHeight="1">
      <c r="A1457" s="7">
        <v>45014043</v>
      </c>
      <c r="B1457" s="8" t="s">
        <v>935</v>
      </c>
    </row>
    <row r="1458" spans="1:2" ht="14.25" customHeight="1">
      <c r="A1458" s="7">
        <v>1732630</v>
      </c>
      <c r="B1458" s="8" t="s">
        <v>936</v>
      </c>
    </row>
    <row r="1459" spans="1:2" ht="14.25" customHeight="1">
      <c r="A1459" s="7">
        <v>1732631</v>
      </c>
      <c r="B1459" s="8" t="s">
        <v>936</v>
      </c>
    </row>
    <row r="1460" spans="1:2" ht="14.25" customHeight="1">
      <c r="A1460" s="7">
        <v>1732632</v>
      </c>
      <c r="B1460" s="8" t="s">
        <v>936</v>
      </c>
    </row>
    <row r="1461" spans="1:2" ht="14.25" customHeight="1">
      <c r="A1461" s="7">
        <v>1732633</v>
      </c>
      <c r="B1461" s="8" t="s">
        <v>936</v>
      </c>
    </row>
    <row r="1462" spans="1:2" ht="14.25" customHeight="1">
      <c r="A1462" s="7">
        <v>1732634</v>
      </c>
      <c r="B1462" s="8" t="s">
        <v>936</v>
      </c>
    </row>
    <row r="1463" spans="1:2" ht="14.25" customHeight="1">
      <c r="A1463" s="7">
        <v>1732635</v>
      </c>
      <c r="B1463" s="8" t="s">
        <v>936</v>
      </c>
    </row>
    <row r="1464" spans="1:2" ht="14.25" customHeight="1">
      <c r="A1464" s="7">
        <v>1732637</v>
      </c>
      <c r="B1464" s="8" t="s">
        <v>936</v>
      </c>
    </row>
    <row r="1465" spans="1:2" ht="14.25" customHeight="1">
      <c r="A1465" s="7">
        <v>1732638</v>
      </c>
      <c r="B1465" s="8" t="s">
        <v>936</v>
      </c>
    </row>
    <row r="1466" spans="1:2" ht="14.25" customHeight="1">
      <c r="A1466" s="7">
        <v>61521057</v>
      </c>
      <c r="B1466" s="8" t="s">
        <v>937</v>
      </c>
    </row>
    <row r="1467" spans="1:2" ht="14.25" customHeight="1">
      <c r="A1467" s="7">
        <v>81521095</v>
      </c>
      <c r="B1467" s="8" t="s">
        <v>938</v>
      </c>
    </row>
    <row r="1468" spans="1:2" ht="14.25" customHeight="1">
      <c r="A1468" s="7">
        <v>8173572</v>
      </c>
      <c r="B1468" s="8" t="s">
        <v>939</v>
      </c>
    </row>
    <row r="1469" spans="1:2" ht="14.25" customHeight="1">
      <c r="A1469" s="7">
        <v>81521006</v>
      </c>
      <c r="B1469" s="8" t="s">
        <v>940</v>
      </c>
    </row>
    <row r="1470" spans="1:2" ht="14.25" customHeight="1">
      <c r="A1470" s="7">
        <v>81521183</v>
      </c>
      <c r="B1470" s="8" t="s">
        <v>940</v>
      </c>
    </row>
    <row r="1471" spans="1:2" ht="14.25" customHeight="1">
      <c r="A1471" s="7">
        <v>81521105</v>
      </c>
      <c r="B1471" s="8" t="s">
        <v>941</v>
      </c>
    </row>
    <row r="1472" spans="1:2" ht="14.25" customHeight="1">
      <c r="A1472" s="7">
        <v>81521446</v>
      </c>
      <c r="B1472" s="8" t="s">
        <v>942</v>
      </c>
    </row>
    <row r="1473" spans="1:2" ht="14.25" customHeight="1">
      <c r="A1473" s="7">
        <v>15180004</v>
      </c>
      <c r="B1473" s="8" t="s">
        <v>943</v>
      </c>
    </row>
    <row r="1474" spans="1:2" ht="14.25" customHeight="1">
      <c r="A1474" s="7">
        <v>81521305</v>
      </c>
      <c r="B1474" s="8" t="s">
        <v>944</v>
      </c>
    </row>
    <row r="1475" spans="1:2" ht="14.25" customHeight="1">
      <c r="A1475" s="7">
        <v>81521103</v>
      </c>
      <c r="B1475" s="8" t="s">
        <v>945</v>
      </c>
    </row>
    <row r="1476" spans="1:2" ht="14.25" customHeight="1">
      <c r="A1476" s="7">
        <v>81521283</v>
      </c>
      <c r="B1476" s="8" t="s">
        <v>945</v>
      </c>
    </row>
    <row r="1477" spans="1:2" ht="14.25" customHeight="1">
      <c r="A1477" s="7">
        <v>81521269</v>
      </c>
      <c r="B1477" s="8" t="s">
        <v>946</v>
      </c>
    </row>
    <row r="1478" spans="1:2" ht="14.25" customHeight="1">
      <c r="A1478" s="7">
        <v>81521267</v>
      </c>
      <c r="B1478" s="8" t="s">
        <v>947</v>
      </c>
    </row>
    <row r="1479" spans="1:2" ht="14.25" customHeight="1">
      <c r="A1479" s="7">
        <v>81521268</v>
      </c>
      <c r="B1479" s="8" t="s">
        <v>947</v>
      </c>
    </row>
    <row r="1480" spans="1:2" ht="14.25" customHeight="1">
      <c r="A1480" s="7">
        <v>8173543</v>
      </c>
      <c r="B1480" s="8" t="s">
        <v>948</v>
      </c>
    </row>
    <row r="1481" spans="1:2" ht="14.25" customHeight="1">
      <c r="A1481" s="7">
        <v>33140004</v>
      </c>
      <c r="B1481" s="8" t="s">
        <v>949</v>
      </c>
    </row>
    <row r="1482" spans="1:2" ht="14.25" customHeight="1">
      <c r="A1482" s="7">
        <v>33140003</v>
      </c>
      <c r="B1482" s="8" t="s">
        <v>950</v>
      </c>
    </row>
    <row r="1483" spans="1:2" ht="14.25" customHeight="1">
      <c r="A1483" s="7">
        <v>33140001</v>
      </c>
      <c r="B1483" s="8" t="s">
        <v>951</v>
      </c>
    </row>
    <row r="1484" spans="1:2" ht="14.25" customHeight="1">
      <c r="A1484" s="7">
        <v>81521494</v>
      </c>
      <c r="B1484" s="8" t="s">
        <v>952</v>
      </c>
    </row>
    <row r="1485" spans="1:2" ht="14.25" customHeight="1">
      <c r="A1485" s="7">
        <v>8173107</v>
      </c>
      <c r="B1485" s="8" t="s">
        <v>953</v>
      </c>
    </row>
    <row r="1486" spans="1:2" ht="14.25" customHeight="1">
      <c r="A1486" s="7">
        <v>8173108</v>
      </c>
      <c r="B1486" s="8" t="s">
        <v>953</v>
      </c>
    </row>
    <row r="1487" spans="1:2" ht="14.25" customHeight="1">
      <c r="A1487" s="7">
        <v>22090003</v>
      </c>
      <c r="B1487" s="8" t="s">
        <v>954</v>
      </c>
    </row>
    <row r="1488" spans="1:2" ht="14.25" customHeight="1">
      <c r="A1488" s="7">
        <v>81521348</v>
      </c>
      <c r="B1488" s="8" t="s">
        <v>955</v>
      </c>
    </row>
    <row r="1489" spans="1:2" ht="14.25" customHeight="1">
      <c r="A1489" s="7">
        <v>81521344</v>
      </c>
      <c r="B1489" s="8" t="s">
        <v>956</v>
      </c>
    </row>
    <row r="1490" spans="1:2" ht="14.25" customHeight="1">
      <c r="A1490" s="7">
        <v>81521333</v>
      </c>
      <c r="B1490" s="8" t="s">
        <v>957</v>
      </c>
    </row>
    <row r="1491" spans="1:2" ht="14.25" customHeight="1">
      <c r="A1491" s="7">
        <v>8173200</v>
      </c>
      <c r="B1491" s="8" t="s">
        <v>958</v>
      </c>
    </row>
    <row r="1492" spans="1:2" ht="14.25" customHeight="1">
      <c r="A1492" s="7">
        <v>8173202</v>
      </c>
      <c r="B1492" s="8" t="s">
        <v>958</v>
      </c>
    </row>
    <row r="1493" spans="1:2" ht="14.25" customHeight="1">
      <c r="A1493" s="7">
        <v>81521474</v>
      </c>
      <c r="B1493" s="8" t="s">
        <v>959</v>
      </c>
    </row>
    <row r="1494" spans="1:2" ht="14.25" customHeight="1">
      <c r="A1494" s="7">
        <v>81521204</v>
      </c>
      <c r="B1494" s="8" t="s">
        <v>960</v>
      </c>
    </row>
    <row r="1495" spans="1:2" ht="14.25" customHeight="1">
      <c r="A1495" s="7">
        <v>81521205</v>
      </c>
      <c r="B1495" s="8" t="s">
        <v>960</v>
      </c>
    </row>
    <row r="1496" spans="1:2" ht="14.25" customHeight="1">
      <c r="A1496" s="7">
        <v>8173364</v>
      </c>
      <c r="B1496" s="8" t="s">
        <v>961</v>
      </c>
    </row>
    <row r="1497" spans="1:2" ht="14.25" customHeight="1">
      <c r="A1497" s="7">
        <v>81521061</v>
      </c>
      <c r="B1497" s="8" t="s">
        <v>962</v>
      </c>
    </row>
    <row r="1498" spans="1:2" ht="14.25" customHeight="1">
      <c r="A1498" s="7">
        <v>81524039</v>
      </c>
      <c r="B1498" s="8" t="s">
        <v>963</v>
      </c>
    </row>
    <row r="1499" spans="1:2" ht="14.25" customHeight="1">
      <c r="A1499" s="7">
        <v>81521490</v>
      </c>
      <c r="B1499" s="8" t="s">
        <v>964</v>
      </c>
    </row>
    <row r="1500" spans="1:2" ht="14.25" customHeight="1">
      <c r="A1500" s="7">
        <v>81521491</v>
      </c>
      <c r="B1500" s="8" t="s">
        <v>964</v>
      </c>
    </row>
    <row r="1501" spans="1:2" ht="14.25" customHeight="1">
      <c r="A1501" s="7">
        <v>1731283</v>
      </c>
      <c r="B1501" s="8" t="s">
        <v>965</v>
      </c>
    </row>
    <row r="1502" spans="1:2" ht="14.25" customHeight="1">
      <c r="A1502" s="7">
        <v>8173546</v>
      </c>
      <c r="B1502" s="8" t="s">
        <v>966</v>
      </c>
    </row>
    <row r="1503" spans="1:2" ht="14.25" customHeight="1">
      <c r="A1503" s="7">
        <v>8173547</v>
      </c>
      <c r="B1503" s="8" t="s">
        <v>967</v>
      </c>
    </row>
    <row r="1504" spans="1:2" ht="14.25" customHeight="1">
      <c r="A1504" s="7">
        <v>81521406</v>
      </c>
      <c r="B1504" s="8" t="s">
        <v>968</v>
      </c>
    </row>
    <row r="1505" spans="1:2" ht="14.25" customHeight="1">
      <c r="A1505" s="7">
        <v>8173221</v>
      </c>
      <c r="B1505" s="8" t="s">
        <v>969</v>
      </c>
    </row>
    <row r="1506" spans="1:2" ht="14.25" customHeight="1">
      <c r="A1506" s="7">
        <v>8172117</v>
      </c>
      <c r="B1506" s="8" t="s">
        <v>970</v>
      </c>
    </row>
    <row r="1507" spans="1:2" ht="14.25" customHeight="1">
      <c r="A1507" s="7">
        <v>8172116</v>
      </c>
      <c r="B1507" s="8" t="s">
        <v>971</v>
      </c>
    </row>
    <row r="1508" spans="1:2" ht="14.25" customHeight="1">
      <c r="A1508" s="7">
        <v>8173204</v>
      </c>
      <c r="B1508" s="8" t="s">
        <v>971</v>
      </c>
    </row>
    <row r="1509" spans="1:2" ht="14.25" customHeight="1">
      <c r="A1509" s="7">
        <v>81521329</v>
      </c>
      <c r="B1509" s="8" t="s">
        <v>971</v>
      </c>
    </row>
    <row r="1510" spans="1:2" ht="14.25" customHeight="1">
      <c r="A1510" s="7">
        <v>8173205</v>
      </c>
      <c r="B1510" s="8" t="s">
        <v>972</v>
      </c>
    </row>
    <row r="1511" spans="1:2" ht="14.25" customHeight="1">
      <c r="A1511" s="7">
        <v>81521328</v>
      </c>
      <c r="B1511" s="8" t="s">
        <v>972</v>
      </c>
    </row>
    <row r="1512" spans="1:2" ht="14.25" customHeight="1">
      <c r="A1512" s="7">
        <v>81521298</v>
      </c>
      <c r="B1512" s="8" t="s">
        <v>973</v>
      </c>
    </row>
    <row r="1513" spans="1:2" ht="14.25" customHeight="1">
      <c r="A1513" s="7">
        <v>81521299</v>
      </c>
      <c r="B1513" s="8" t="s">
        <v>973</v>
      </c>
    </row>
    <row r="1514" spans="1:2" ht="14.25" customHeight="1">
      <c r="A1514" s="7">
        <v>8173218</v>
      </c>
      <c r="B1514" s="8" t="s">
        <v>378</v>
      </c>
    </row>
    <row r="1515" spans="1:2" ht="14.25" customHeight="1">
      <c r="A1515" s="7">
        <v>8173220</v>
      </c>
      <c r="B1515" s="8" t="s">
        <v>378</v>
      </c>
    </row>
    <row r="1516" spans="1:2" ht="14.25" customHeight="1">
      <c r="A1516" s="7">
        <v>8173223</v>
      </c>
      <c r="B1516" s="8" t="s">
        <v>378</v>
      </c>
    </row>
    <row r="1517" spans="1:2" ht="14.25" customHeight="1">
      <c r="A1517" s="7">
        <v>8173408</v>
      </c>
      <c r="B1517" s="8" t="s">
        <v>378</v>
      </c>
    </row>
    <row r="1518" spans="1:2" ht="14.25" customHeight="1">
      <c r="A1518" s="7">
        <v>8173409</v>
      </c>
      <c r="B1518" s="8" t="s">
        <v>378</v>
      </c>
    </row>
    <row r="1519" spans="1:2" ht="14.25" customHeight="1">
      <c r="A1519" s="7">
        <v>8173413</v>
      </c>
      <c r="B1519" s="8" t="s">
        <v>378</v>
      </c>
    </row>
    <row r="1520" spans="1:2" ht="14.25" customHeight="1">
      <c r="A1520" s="7">
        <v>8173501</v>
      </c>
      <c r="B1520" s="8" t="s">
        <v>378</v>
      </c>
    </row>
    <row r="1521" spans="1:2" ht="14.25" customHeight="1">
      <c r="A1521" s="7">
        <v>8173545</v>
      </c>
      <c r="B1521" s="8" t="s">
        <v>378</v>
      </c>
    </row>
    <row r="1522" spans="1:2" ht="14.25" customHeight="1">
      <c r="A1522" s="7">
        <v>81521237</v>
      </c>
      <c r="B1522" s="8" t="s">
        <v>378</v>
      </c>
    </row>
    <row r="1523" spans="1:2" ht="14.25" customHeight="1">
      <c r="A1523" s="7">
        <v>81521518</v>
      </c>
      <c r="B1523" s="8" t="s">
        <v>974</v>
      </c>
    </row>
    <row r="1524" spans="1:2" ht="14.25" customHeight="1">
      <c r="A1524" s="7">
        <v>81521106</v>
      </c>
      <c r="B1524" s="8" t="s">
        <v>975</v>
      </c>
    </row>
    <row r="1525" spans="1:2" ht="14.25" customHeight="1">
      <c r="A1525" s="7">
        <v>905925</v>
      </c>
      <c r="B1525" s="8" t="s">
        <v>976</v>
      </c>
    </row>
    <row r="1526" spans="1:2" ht="14.25" customHeight="1">
      <c r="A1526" s="7">
        <v>900287</v>
      </c>
      <c r="B1526" s="8" t="s">
        <v>977</v>
      </c>
    </row>
    <row r="1527" spans="1:2" ht="14.25" customHeight="1">
      <c r="A1527" s="7">
        <v>900288</v>
      </c>
      <c r="B1527" s="8" t="s">
        <v>977</v>
      </c>
    </row>
    <row r="1528" spans="1:2" ht="14.25" customHeight="1">
      <c r="A1528" s="7">
        <v>900289</v>
      </c>
      <c r="B1528" s="8" t="s">
        <v>977</v>
      </c>
    </row>
    <row r="1529" spans="1:2" ht="14.25" customHeight="1">
      <c r="A1529" s="7">
        <v>900417</v>
      </c>
      <c r="B1529" s="8" t="s">
        <v>977</v>
      </c>
    </row>
    <row r="1530" spans="1:2" ht="14.25" customHeight="1">
      <c r="A1530" s="7">
        <v>900910</v>
      </c>
      <c r="B1530" s="8" t="s">
        <v>977</v>
      </c>
    </row>
    <row r="1531" spans="1:2" ht="14.25" customHeight="1">
      <c r="A1531" s="7">
        <v>900914</v>
      </c>
      <c r="B1531" s="8" t="s">
        <v>977</v>
      </c>
    </row>
    <row r="1532" spans="1:2" ht="14.25" customHeight="1">
      <c r="A1532" s="7">
        <v>901627</v>
      </c>
      <c r="B1532" s="8" t="s">
        <v>977</v>
      </c>
    </row>
    <row r="1533" spans="1:2" ht="14.25" customHeight="1">
      <c r="A1533" s="7">
        <v>901677</v>
      </c>
      <c r="B1533" s="8" t="s">
        <v>977</v>
      </c>
    </row>
    <row r="1534" spans="1:2" ht="14.25" customHeight="1">
      <c r="A1534" s="7">
        <v>903046</v>
      </c>
      <c r="B1534" s="8" t="s">
        <v>977</v>
      </c>
    </row>
    <row r="1535" spans="1:2" ht="14.25" customHeight="1">
      <c r="A1535" s="7">
        <v>903047</v>
      </c>
      <c r="B1535" s="8" t="s">
        <v>977</v>
      </c>
    </row>
    <row r="1536" spans="1:2" ht="14.25" customHeight="1">
      <c r="A1536" s="7">
        <v>903048</v>
      </c>
      <c r="B1536" s="8" t="s">
        <v>977</v>
      </c>
    </row>
    <row r="1537" spans="1:2" ht="14.25" customHeight="1">
      <c r="A1537" s="7">
        <v>903049</v>
      </c>
      <c r="B1537" s="8" t="s">
        <v>977</v>
      </c>
    </row>
    <row r="1538" spans="1:2" ht="14.25" customHeight="1">
      <c r="A1538" s="7">
        <v>903050</v>
      </c>
      <c r="B1538" s="8" t="s">
        <v>977</v>
      </c>
    </row>
    <row r="1539" spans="1:2" ht="14.25" customHeight="1">
      <c r="A1539" s="7">
        <v>903051</v>
      </c>
      <c r="B1539" s="8" t="s">
        <v>977</v>
      </c>
    </row>
    <row r="1540" spans="1:2" ht="14.25" customHeight="1">
      <c r="A1540" s="7">
        <v>903080</v>
      </c>
      <c r="B1540" s="8" t="s">
        <v>977</v>
      </c>
    </row>
    <row r="1541" spans="1:2" ht="14.25" customHeight="1">
      <c r="A1541" s="7">
        <v>903081</v>
      </c>
      <c r="B1541" s="8" t="s">
        <v>977</v>
      </c>
    </row>
    <row r="1542" spans="1:2" ht="14.25" customHeight="1">
      <c r="A1542" s="7">
        <v>903171</v>
      </c>
      <c r="B1542" s="8" t="s">
        <v>977</v>
      </c>
    </row>
    <row r="1543" spans="1:2" ht="14.25" customHeight="1">
      <c r="A1543" s="7">
        <v>903172</v>
      </c>
      <c r="B1543" s="8" t="s">
        <v>977</v>
      </c>
    </row>
    <row r="1544" spans="1:2" ht="14.25" customHeight="1">
      <c r="A1544" s="7">
        <v>903173</v>
      </c>
      <c r="B1544" s="8" t="s">
        <v>977</v>
      </c>
    </row>
    <row r="1545" spans="1:2" ht="14.25" customHeight="1">
      <c r="A1545" s="7">
        <v>903174</v>
      </c>
      <c r="B1545" s="8" t="s">
        <v>977</v>
      </c>
    </row>
    <row r="1546" spans="1:2" ht="14.25" customHeight="1">
      <c r="A1546" s="7">
        <v>903175</v>
      </c>
      <c r="B1546" s="8" t="s">
        <v>977</v>
      </c>
    </row>
    <row r="1547" spans="1:2" ht="14.25" customHeight="1">
      <c r="A1547" s="7">
        <v>903176</v>
      </c>
      <c r="B1547" s="8" t="s">
        <v>977</v>
      </c>
    </row>
    <row r="1548" spans="1:2" ht="14.25" customHeight="1">
      <c r="A1548" s="7">
        <v>903177</v>
      </c>
      <c r="B1548" s="8" t="s">
        <v>977</v>
      </c>
    </row>
    <row r="1549" spans="1:2" ht="14.25" customHeight="1">
      <c r="A1549" s="7">
        <v>903225</v>
      </c>
      <c r="B1549" s="8" t="s">
        <v>977</v>
      </c>
    </row>
    <row r="1550" spans="1:2" ht="14.25" customHeight="1">
      <c r="A1550" s="7">
        <v>903226</v>
      </c>
      <c r="B1550" s="8" t="s">
        <v>977</v>
      </c>
    </row>
    <row r="1551" spans="1:2" ht="14.25" customHeight="1">
      <c r="A1551" s="7">
        <v>903227</v>
      </c>
      <c r="B1551" s="8" t="s">
        <v>977</v>
      </c>
    </row>
    <row r="1552" spans="1:2" ht="14.25" customHeight="1">
      <c r="A1552" s="7">
        <v>903228</v>
      </c>
      <c r="B1552" s="8" t="s">
        <v>977</v>
      </c>
    </row>
    <row r="1553" spans="1:2" ht="14.25" customHeight="1">
      <c r="A1553" s="7">
        <v>903229</v>
      </c>
      <c r="B1553" s="8" t="s">
        <v>977</v>
      </c>
    </row>
    <row r="1554" spans="1:2" ht="14.25" customHeight="1">
      <c r="A1554" s="7">
        <v>903230</v>
      </c>
      <c r="B1554" s="8" t="s">
        <v>977</v>
      </c>
    </row>
    <row r="1555" spans="1:2" ht="14.25" customHeight="1">
      <c r="A1555" s="7">
        <v>8173445</v>
      </c>
      <c r="B1555" s="8" t="s">
        <v>977</v>
      </c>
    </row>
    <row r="1556" spans="1:2" ht="14.25" customHeight="1">
      <c r="A1556" s="7">
        <v>8173447</v>
      </c>
      <c r="B1556" s="8" t="s">
        <v>977</v>
      </c>
    </row>
    <row r="1557" spans="1:2" ht="14.25" customHeight="1">
      <c r="A1557" s="7">
        <v>8173536</v>
      </c>
      <c r="B1557" s="8" t="s">
        <v>977</v>
      </c>
    </row>
    <row r="1558" spans="1:2" ht="14.25" customHeight="1">
      <c r="A1558" s="7">
        <v>8173625</v>
      </c>
      <c r="B1558" s="8" t="s">
        <v>977</v>
      </c>
    </row>
    <row r="1559" spans="1:2" ht="14.25" customHeight="1">
      <c r="A1559" s="7">
        <v>81521004</v>
      </c>
      <c r="B1559" s="8" t="s">
        <v>977</v>
      </c>
    </row>
    <row r="1560" spans="1:2" ht="14.25" customHeight="1">
      <c r="A1560" s="7">
        <v>81521005</v>
      </c>
      <c r="B1560" s="8" t="s">
        <v>977</v>
      </c>
    </row>
    <row r="1561" spans="1:2" ht="14.25" customHeight="1">
      <c r="A1561" s="7">
        <v>81521057</v>
      </c>
      <c r="B1561" s="8" t="s">
        <v>977</v>
      </c>
    </row>
    <row r="1562" spans="1:2" ht="14.25" customHeight="1">
      <c r="A1562" s="7">
        <v>81521191</v>
      </c>
      <c r="B1562" s="8" t="s">
        <v>978</v>
      </c>
    </row>
    <row r="1563" spans="1:2" ht="14.25" customHeight="1">
      <c r="A1563" s="7">
        <v>81521192</v>
      </c>
      <c r="B1563" s="8" t="s">
        <v>979</v>
      </c>
    </row>
    <row r="1564" spans="1:2" ht="14.25" customHeight="1">
      <c r="A1564" s="7">
        <v>8173444</v>
      </c>
      <c r="B1564" s="8" t="s">
        <v>980</v>
      </c>
    </row>
    <row r="1565" spans="1:2" ht="14.25" customHeight="1">
      <c r="A1565" s="7">
        <v>8173489</v>
      </c>
      <c r="B1565" s="8" t="s">
        <v>980</v>
      </c>
    </row>
    <row r="1566" spans="1:2" ht="14.25" customHeight="1">
      <c r="A1566" s="7">
        <v>8173639</v>
      </c>
      <c r="B1566" s="8" t="s">
        <v>980</v>
      </c>
    </row>
    <row r="1567" spans="1:2" ht="14.25" customHeight="1">
      <c r="A1567" s="7">
        <v>17020023</v>
      </c>
      <c r="B1567" s="8" t="s">
        <v>980</v>
      </c>
    </row>
    <row r="1568" spans="1:2" ht="14.25" customHeight="1">
      <c r="A1568" s="7">
        <v>17020024</v>
      </c>
      <c r="B1568" s="8" t="s">
        <v>980</v>
      </c>
    </row>
    <row r="1569" spans="1:2" ht="14.25" customHeight="1">
      <c r="A1569" s="7">
        <v>71519098</v>
      </c>
      <c r="B1569" s="8" t="s">
        <v>980</v>
      </c>
    </row>
    <row r="1570" spans="1:2" ht="14.25" customHeight="1">
      <c r="A1570" s="7">
        <v>81521055</v>
      </c>
      <c r="B1570" s="8" t="s">
        <v>980</v>
      </c>
    </row>
    <row r="1571" spans="1:2" ht="14.25" customHeight="1">
      <c r="A1571" s="7">
        <v>81521056</v>
      </c>
      <c r="B1571" s="8" t="s">
        <v>980</v>
      </c>
    </row>
    <row r="1572" spans="1:2" ht="14.25" customHeight="1">
      <c r="A1572" s="7">
        <v>81521143</v>
      </c>
      <c r="B1572" s="8" t="s">
        <v>980</v>
      </c>
    </row>
    <row r="1573" spans="1:2" ht="14.25" customHeight="1">
      <c r="A1573" s="7">
        <v>81521190</v>
      </c>
      <c r="B1573" s="8" t="s">
        <v>980</v>
      </c>
    </row>
    <row r="1574" spans="1:2" ht="14.25" customHeight="1">
      <c r="A1574" s="7">
        <v>81521303</v>
      </c>
      <c r="B1574" s="8" t="s">
        <v>980</v>
      </c>
    </row>
    <row r="1575" spans="1:2" ht="14.25" customHeight="1">
      <c r="A1575" s="7">
        <v>81521304</v>
      </c>
      <c r="B1575" s="8" t="s">
        <v>980</v>
      </c>
    </row>
    <row r="1576" spans="1:2" ht="14.25" customHeight="1">
      <c r="A1576" s="7">
        <v>81521306</v>
      </c>
      <c r="B1576" s="8" t="s">
        <v>980</v>
      </c>
    </row>
    <row r="1577" spans="1:2" ht="14.25" customHeight="1">
      <c r="A1577" s="7">
        <v>81521454</v>
      </c>
      <c r="B1577" s="8" t="s">
        <v>980</v>
      </c>
    </row>
    <row r="1578" spans="1:2" ht="14.25" customHeight="1">
      <c r="A1578" s="7">
        <v>81521568</v>
      </c>
      <c r="B1578" s="8" t="s">
        <v>980</v>
      </c>
    </row>
    <row r="1579" spans="1:2" ht="14.25" customHeight="1">
      <c r="A1579" s="7">
        <v>17020010</v>
      </c>
      <c r="B1579" s="8" t="s">
        <v>981</v>
      </c>
    </row>
    <row r="1580" spans="1:2" ht="14.25" customHeight="1">
      <c r="A1580" s="7">
        <v>17020011</v>
      </c>
      <c r="B1580" s="8" t="s">
        <v>981</v>
      </c>
    </row>
    <row r="1581" spans="1:2" ht="14.25" customHeight="1">
      <c r="A1581" s="7">
        <v>81521336</v>
      </c>
      <c r="B1581" s="8" t="s">
        <v>981</v>
      </c>
    </row>
    <row r="1582" spans="1:2" ht="14.25" customHeight="1">
      <c r="A1582" s="7">
        <v>81521337</v>
      </c>
      <c r="B1582" s="8" t="s">
        <v>981</v>
      </c>
    </row>
    <row r="1583" spans="1:2" ht="14.25" customHeight="1">
      <c r="A1583" s="7">
        <v>81521338</v>
      </c>
      <c r="B1583" s="8" t="s">
        <v>981</v>
      </c>
    </row>
    <row r="1584" spans="1:2" ht="14.25" customHeight="1">
      <c r="A1584" s="7">
        <v>81521339</v>
      </c>
      <c r="B1584" s="8" t="s">
        <v>981</v>
      </c>
    </row>
    <row r="1585" spans="1:2" ht="14.25" customHeight="1">
      <c r="A1585" s="7">
        <v>81521341</v>
      </c>
      <c r="B1585" s="8" t="s">
        <v>981</v>
      </c>
    </row>
    <row r="1586" spans="1:2" ht="14.25" customHeight="1">
      <c r="A1586" s="7">
        <v>81521342</v>
      </c>
      <c r="B1586" s="8" t="s">
        <v>981</v>
      </c>
    </row>
    <row r="1587" spans="1:2" ht="14.25" customHeight="1">
      <c r="A1587" s="7">
        <v>81521343</v>
      </c>
      <c r="B1587" s="8" t="s">
        <v>981</v>
      </c>
    </row>
    <row r="1588" spans="1:2" ht="14.25" customHeight="1">
      <c r="A1588" s="7">
        <v>8173125</v>
      </c>
      <c r="B1588" s="8" t="s">
        <v>982</v>
      </c>
    </row>
    <row r="1589" spans="1:2" ht="14.25" customHeight="1">
      <c r="A1589" s="7">
        <v>8173126</v>
      </c>
      <c r="B1589" s="8" t="s">
        <v>983</v>
      </c>
    </row>
    <row r="1590" spans="1:2" ht="14.25" customHeight="1">
      <c r="A1590" s="7">
        <v>16170014</v>
      </c>
      <c r="B1590" s="8" t="s">
        <v>984</v>
      </c>
    </row>
    <row r="1591" spans="1:2" ht="14.25" customHeight="1">
      <c r="A1591" s="7">
        <v>16170015</v>
      </c>
      <c r="B1591" s="8" t="s">
        <v>984</v>
      </c>
    </row>
    <row r="1592" spans="1:2" ht="14.25" customHeight="1">
      <c r="A1592" s="7">
        <v>16170006</v>
      </c>
      <c r="B1592" s="8" t="s">
        <v>985</v>
      </c>
    </row>
    <row r="1593" spans="1:2" ht="14.25" customHeight="1">
      <c r="A1593" s="7">
        <v>16170007</v>
      </c>
      <c r="B1593" s="8" t="s">
        <v>985</v>
      </c>
    </row>
    <row r="1594" spans="1:2" ht="14.25" customHeight="1">
      <c r="A1594" s="7">
        <v>16170008</v>
      </c>
      <c r="B1594" s="8" t="s">
        <v>985</v>
      </c>
    </row>
    <row r="1595" spans="1:2" ht="14.25" customHeight="1">
      <c r="A1595" s="7">
        <v>16170009</v>
      </c>
      <c r="B1595" s="8" t="s">
        <v>985</v>
      </c>
    </row>
    <row r="1596" spans="1:2" ht="14.25" customHeight="1">
      <c r="A1596" s="7">
        <v>8173195</v>
      </c>
      <c r="B1596" s="8" t="s">
        <v>986</v>
      </c>
    </row>
    <row r="1597" spans="1:2" ht="14.25" customHeight="1">
      <c r="A1597" s="7">
        <v>15190027</v>
      </c>
      <c r="B1597" s="8" t="s">
        <v>987</v>
      </c>
    </row>
    <row r="1598" spans="1:2" ht="14.25" customHeight="1">
      <c r="A1598" s="7">
        <v>45190001</v>
      </c>
      <c r="B1598" s="8" t="s">
        <v>987</v>
      </c>
    </row>
    <row r="1599" spans="1:2" ht="14.25" customHeight="1">
      <c r="A1599" s="7">
        <v>15190018</v>
      </c>
      <c r="B1599" s="8" t="s">
        <v>988</v>
      </c>
    </row>
    <row r="1600" spans="1:2" ht="14.25" customHeight="1">
      <c r="A1600" s="7">
        <v>15190020</v>
      </c>
      <c r="B1600" s="8" t="s">
        <v>988</v>
      </c>
    </row>
    <row r="1601" spans="1:2" ht="14.25" customHeight="1">
      <c r="A1601" s="7">
        <v>15190021</v>
      </c>
      <c r="B1601" s="8" t="s">
        <v>988</v>
      </c>
    </row>
    <row r="1602" spans="1:2" ht="14.25" customHeight="1">
      <c r="A1602" s="7">
        <v>81507094</v>
      </c>
      <c r="B1602" s="8" t="s">
        <v>989</v>
      </c>
    </row>
    <row r="1603" spans="1:2" ht="14.25" customHeight="1">
      <c r="A1603" s="7">
        <v>81521286</v>
      </c>
      <c r="B1603" s="8" t="s">
        <v>989</v>
      </c>
    </row>
    <row r="1604" spans="1:2" ht="14.25" customHeight="1">
      <c r="A1604" s="7">
        <v>81521287</v>
      </c>
      <c r="B1604" s="8" t="s">
        <v>989</v>
      </c>
    </row>
    <row r="1605" spans="1:2" ht="14.25" customHeight="1">
      <c r="A1605" s="7">
        <v>81521288</v>
      </c>
      <c r="B1605" s="8" t="s">
        <v>989</v>
      </c>
    </row>
    <row r="1606" spans="1:2" ht="14.25" customHeight="1">
      <c r="A1606" s="7">
        <v>81521291</v>
      </c>
      <c r="B1606" s="8" t="s">
        <v>989</v>
      </c>
    </row>
    <row r="1607" spans="1:2" ht="14.25" customHeight="1">
      <c r="A1607" s="7">
        <v>81521292</v>
      </c>
      <c r="B1607" s="8" t="s">
        <v>989</v>
      </c>
    </row>
    <row r="1608" spans="1:2" ht="14.25" customHeight="1">
      <c r="A1608" s="7">
        <v>81521293</v>
      </c>
      <c r="B1608" s="8" t="s">
        <v>989</v>
      </c>
    </row>
    <row r="1609" spans="1:2" ht="14.25" customHeight="1">
      <c r="A1609" s="7">
        <v>81521146</v>
      </c>
      <c r="B1609" s="8" t="s">
        <v>990</v>
      </c>
    </row>
    <row r="1610" spans="1:2" ht="14.25" customHeight="1">
      <c r="A1610" s="7">
        <v>85048059</v>
      </c>
      <c r="B1610" s="8" t="s">
        <v>990</v>
      </c>
    </row>
    <row r="1611" spans="1:2" ht="14.25" customHeight="1">
      <c r="A1611" s="7">
        <v>85048065</v>
      </c>
      <c r="B1611" s="8" t="s">
        <v>990</v>
      </c>
    </row>
    <row r="1612" spans="1:2" ht="14.25" customHeight="1">
      <c r="A1612" s="7">
        <v>85048067</v>
      </c>
      <c r="B1612" s="8" t="s">
        <v>990</v>
      </c>
    </row>
    <row r="1613" spans="1:2" ht="14.25" customHeight="1">
      <c r="A1613" s="7">
        <v>85048068</v>
      </c>
      <c r="B1613" s="8" t="s">
        <v>990</v>
      </c>
    </row>
    <row r="1614" spans="1:2" ht="14.25" customHeight="1">
      <c r="A1614" s="7">
        <v>85048069</v>
      </c>
      <c r="B1614" s="8" t="s">
        <v>990</v>
      </c>
    </row>
    <row r="1615" spans="1:2" ht="14.25" customHeight="1">
      <c r="A1615" s="7">
        <v>45190003</v>
      </c>
      <c r="B1615" s="8" t="s">
        <v>991</v>
      </c>
    </row>
    <row r="1616" spans="1:2" ht="14.25" customHeight="1">
      <c r="A1616" s="7">
        <v>45190004</v>
      </c>
      <c r="B1616" s="8" t="s">
        <v>992</v>
      </c>
    </row>
    <row r="1617" spans="1:2" ht="14.25" customHeight="1">
      <c r="A1617" s="7">
        <v>45190002</v>
      </c>
      <c r="B1617" s="8" t="s">
        <v>993</v>
      </c>
    </row>
    <row r="1618" spans="1:2" ht="14.25" customHeight="1">
      <c r="A1618" s="7">
        <v>85014054</v>
      </c>
      <c r="B1618" s="8" t="s">
        <v>994</v>
      </c>
    </row>
    <row r="1619" spans="1:2" ht="14.25" customHeight="1">
      <c r="A1619" s="7">
        <v>81521007</v>
      </c>
      <c r="B1619" s="8" t="s">
        <v>995</v>
      </c>
    </row>
    <row r="1620" spans="1:2" ht="14.25" customHeight="1">
      <c r="A1620" s="7">
        <v>81521008</v>
      </c>
      <c r="B1620" s="8" t="s">
        <v>995</v>
      </c>
    </row>
    <row r="1621" spans="1:2" ht="14.25" customHeight="1">
      <c r="A1621" s="7">
        <v>81521014</v>
      </c>
      <c r="B1621" s="8" t="s">
        <v>995</v>
      </c>
    </row>
    <row r="1622" spans="1:2" ht="14.25" customHeight="1">
      <c r="A1622" s="7">
        <v>81521493</v>
      </c>
      <c r="B1622" s="8" t="s">
        <v>996</v>
      </c>
    </row>
    <row r="1623" spans="1:2" ht="14.25" customHeight="1">
      <c r="A1623" s="7">
        <v>81521445</v>
      </c>
      <c r="B1623" s="8" t="s">
        <v>997</v>
      </c>
    </row>
    <row r="1624" spans="1:2" ht="14.25" customHeight="1">
      <c r="A1624" s="7">
        <v>8181121</v>
      </c>
      <c r="B1624" s="8" t="s">
        <v>998</v>
      </c>
    </row>
    <row r="1625" spans="1:2" ht="14.25" customHeight="1">
      <c r="A1625" s="7">
        <v>1732203</v>
      </c>
      <c r="B1625" s="8" t="s">
        <v>999</v>
      </c>
    </row>
    <row r="1626" spans="1:2" ht="14.25" customHeight="1">
      <c r="A1626" s="7">
        <v>81521240</v>
      </c>
      <c r="B1626" s="8" t="s">
        <v>1000</v>
      </c>
    </row>
    <row r="1627" spans="1:2" ht="14.25" customHeight="1">
      <c r="A1627" s="7">
        <v>81521154</v>
      </c>
      <c r="B1627" s="8" t="s">
        <v>1001</v>
      </c>
    </row>
    <row r="1628" spans="1:2" ht="14.25" customHeight="1">
      <c r="A1628" s="7">
        <v>81521239</v>
      </c>
      <c r="B1628" s="8" t="s">
        <v>1001</v>
      </c>
    </row>
    <row r="1629" spans="1:2" ht="14.25" customHeight="1">
      <c r="A1629" s="7">
        <v>8173214</v>
      </c>
      <c r="B1629" s="8" t="s">
        <v>1002</v>
      </c>
    </row>
    <row r="1630" spans="1:2" ht="14.25" customHeight="1">
      <c r="A1630" s="7">
        <v>8173326</v>
      </c>
      <c r="B1630" s="8" t="s">
        <v>1002</v>
      </c>
    </row>
    <row r="1631" spans="1:2" ht="14.25" customHeight="1">
      <c r="A1631" s="7">
        <v>81521193</v>
      </c>
      <c r="B1631" s="8" t="s">
        <v>1003</v>
      </c>
    </row>
    <row r="1632" spans="1:2" ht="14.25" customHeight="1">
      <c r="A1632" s="7">
        <v>43070001</v>
      </c>
      <c r="B1632" s="8" t="s">
        <v>1004</v>
      </c>
    </row>
    <row r="1633" spans="1:2" ht="14.25" customHeight="1">
      <c r="A1633" s="7">
        <v>11522020</v>
      </c>
      <c r="B1633" s="8" t="s">
        <v>1005</v>
      </c>
    </row>
    <row r="1634" spans="1:2" ht="14.25" customHeight="1">
      <c r="A1634" s="7">
        <v>11521001</v>
      </c>
      <c r="B1634" s="8" t="s">
        <v>1006</v>
      </c>
    </row>
    <row r="1635" spans="1:2" ht="14.25" customHeight="1">
      <c r="A1635" s="7">
        <v>11521002</v>
      </c>
      <c r="B1635" s="8" t="s">
        <v>1006</v>
      </c>
    </row>
    <row r="1636" spans="1:2" ht="14.25" customHeight="1">
      <c r="A1636" s="7">
        <v>11521003</v>
      </c>
      <c r="B1636" s="8" t="s">
        <v>1006</v>
      </c>
    </row>
    <row r="1637" spans="1:2" ht="14.25" customHeight="1">
      <c r="A1637" s="7">
        <v>11521004</v>
      </c>
      <c r="B1637" s="8" t="s">
        <v>1006</v>
      </c>
    </row>
    <row r="1638" spans="1:2" ht="14.25" customHeight="1">
      <c r="A1638" s="7">
        <v>11521005</v>
      </c>
      <c r="B1638" s="8" t="s">
        <v>1006</v>
      </c>
    </row>
    <row r="1639" spans="1:2" ht="14.25" customHeight="1">
      <c r="A1639" s="7">
        <v>11521006</v>
      </c>
      <c r="B1639" s="8" t="s">
        <v>1006</v>
      </c>
    </row>
    <row r="1640" spans="1:2" ht="14.25" customHeight="1">
      <c r="A1640" s="7">
        <v>11521029</v>
      </c>
      <c r="B1640" s="8" t="s">
        <v>1007</v>
      </c>
    </row>
    <row r="1641" spans="1:2" ht="14.25" customHeight="1">
      <c r="A1641" s="7">
        <v>11521030</v>
      </c>
      <c r="B1641" s="8" t="s">
        <v>1007</v>
      </c>
    </row>
    <row r="1642" spans="1:2" ht="14.25" customHeight="1">
      <c r="A1642" s="7">
        <v>11521031</v>
      </c>
      <c r="B1642" s="8" t="s">
        <v>1007</v>
      </c>
    </row>
    <row r="1643" spans="1:2" ht="14.25" customHeight="1">
      <c r="A1643" s="7">
        <v>11521032</v>
      </c>
      <c r="B1643" s="8" t="s">
        <v>1007</v>
      </c>
    </row>
    <row r="1644" spans="1:2" ht="14.25" customHeight="1">
      <c r="A1644" s="7">
        <v>23110001</v>
      </c>
      <c r="B1644" s="8" t="s">
        <v>1008</v>
      </c>
    </row>
    <row r="1645" spans="1:2" ht="14.25" customHeight="1">
      <c r="A1645" s="7">
        <v>15014010</v>
      </c>
      <c r="B1645" s="8" t="s">
        <v>1009</v>
      </c>
    </row>
    <row r="1646" spans="1:2" ht="14.25" customHeight="1">
      <c r="A1646" s="7">
        <v>11521037</v>
      </c>
      <c r="B1646" s="8" t="s">
        <v>1010</v>
      </c>
    </row>
    <row r="1647" spans="1:2" ht="14.25" customHeight="1">
      <c r="A1647" s="7">
        <v>1173001</v>
      </c>
      <c r="B1647" s="8" t="s">
        <v>1011</v>
      </c>
    </row>
    <row r="1648" spans="1:2" ht="14.25" customHeight="1">
      <c r="A1648" s="7">
        <v>1173002</v>
      </c>
      <c r="B1648" s="8" t="s">
        <v>1011</v>
      </c>
    </row>
    <row r="1649" spans="1:2" ht="14.25" customHeight="1">
      <c r="A1649" s="7">
        <v>1173004</v>
      </c>
      <c r="B1649" s="8" t="s">
        <v>1011</v>
      </c>
    </row>
    <row r="1650" spans="1:2" ht="14.25" customHeight="1">
      <c r="A1650" s="7">
        <v>1173005</v>
      </c>
      <c r="B1650" s="8" t="s">
        <v>1011</v>
      </c>
    </row>
    <row r="1651" spans="1:2" ht="14.25" customHeight="1">
      <c r="A1651" s="7">
        <v>1173006</v>
      </c>
      <c r="B1651" s="8" t="s">
        <v>1011</v>
      </c>
    </row>
    <row r="1652" spans="1:2" ht="14.25" customHeight="1">
      <c r="A1652" s="7">
        <v>1731018</v>
      </c>
      <c r="B1652" s="8" t="s">
        <v>1011</v>
      </c>
    </row>
    <row r="1653" spans="1:2" ht="14.25" customHeight="1">
      <c r="A1653" s="7">
        <v>1173007</v>
      </c>
      <c r="B1653" s="8" t="s">
        <v>1012</v>
      </c>
    </row>
    <row r="1654" spans="1:2" ht="14.25" customHeight="1">
      <c r="A1654" s="7">
        <v>1173008</v>
      </c>
      <c r="B1654" s="8" t="s">
        <v>1012</v>
      </c>
    </row>
    <row r="1655" spans="1:2" ht="14.25" customHeight="1">
      <c r="A1655" s="7">
        <v>1173136</v>
      </c>
      <c r="B1655" s="8" t="s">
        <v>1012</v>
      </c>
    </row>
    <row r="1656" spans="1:2" ht="14.25" customHeight="1">
      <c r="A1656" s="7">
        <v>11521007</v>
      </c>
      <c r="B1656" s="8" t="s">
        <v>1013</v>
      </c>
    </row>
    <row r="1657" spans="1:2" ht="14.25" customHeight="1">
      <c r="A1657" s="7">
        <v>11521008</v>
      </c>
      <c r="B1657" s="8" t="s">
        <v>1013</v>
      </c>
    </row>
    <row r="1658" spans="1:2" ht="14.25" customHeight="1">
      <c r="A1658" s="7">
        <v>11521009</v>
      </c>
      <c r="B1658" s="8" t="s">
        <v>1013</v>
      </c>
    </row>
    <row r="1659" spans="1:2" ht="14.25" customHeight="1">
      <c r="A1659" s="7">
        <v>11521010</v>
      </c>
      <c r="B1659" s="8" t="s">
        <v>1013</v>
      </c>
    </row>
    <row r="1660" spans="1:2" ht="14.25" customHeight="1">
      <c r="A1660" s="7">
        <v>11521011</v>
      </c>
      <c r="B1660" s="8" t="s">
        <v>1013</v>
      </c>
    </row>
    <row r="1661" spans="1:2" ht="14.25" customHeight="1">
      <c r="A1661" s="7">
        <v>11521012</v>
      </c>
      <c r="B1661" s="8" t="s">
        <v>1013</v>
      </c>
    </row>
    <row r="1662" spans="1:2" ht="14.25" customHeight="1">
      <c r="A1662" s="7">
        <v>11521013</v>
      </c>
      <c r="B1662" s="8" t="s">
        <v>1013</v>
      </c>
    </row>
    <row r="1663" spans="1:2" ht="14.25" customHeight="1">
      <c r="A1663" s="7">
        <v>11521014</v>
      </c>
      <c r="B1663" s="8" t="s">
        <v>1013</v>
      </c>
    </row>
    <row r="1664" spans="1:2" ht="14.25" customHeight="1">
      <c r="A1664" s="7">
        <v>11521015</v>
      </c>
      <c r="B1664" s="8" t="s">
        <v>1013</v>
      </c>
    </row>
    <row r="1665" spans="1:2" ht="14.25" customHeight="1">
      <c r="A1665" s="7">
        <v>11521016</v>
      </c>
      <c r="B1665" s="8" t="s">
        <v>1013</v>
      </c>
    </row>
    <row r="1666" spans="1:2" ht="14.25" customHeight="1">
      <c r="A1666" s="7">
        <v>11521017</v>
      </c>
      <c r="B1666" s="8" t="s">
        <v>1013</v>
      </c>
    </row>
    <row r="1667" spans="1:2" ht="14.25" customHeight="1">
      <c r="A1667" s="7">
        <v>11521020</v>
      </c>
      <c r="B1667" s="8" t="s">
        <v>1013</v>
      </c>
    </row>
    <row r="1668" spans="1:2" ht="14.25" customHeight="1">
      <c r="A1668" s="7">
        <v>11521021</v>
      </c>
      <c r="B1668" s="8" t="s">
        <v>1013</v>
      </c>
    </row>
    <row r="1669" spans="1:2" ht="14.25" customHeight="1">
      <c r="A1669" s="7">
        <v>11521022</v>
      </c>
      <c r="B1669" s="8" t="s">
        <v>1013</v>
      </c>
    </row>
    <row r="1670" spans="1:2" ht="14.25" customHeight="1">
      <c r="A1670" s="7">
        <v>11521023</v>
      </c>
      <c r="B1670" s="8" t="s">
        <v>1013</v>
      </c>
    </row>
    <row r="1671" spans="1:2" ht="14.25" customHeight="1">
      <c r="A1671" s="7">
        <v>11521025</v>
      </c>
      <c r="B1671" s="8" t="s">
        <v>1013</v>
      </c>
    </row>
    <row r="1672" spans="1:2" ht="14.25" customHeight="1">
      <c r="A1672" s="7">
        <v>11521026</v>
      </c>
      <c r="B1672" s="8" t="s">
        <v>1013</v>
      </c>
    </row>
    <row r="1673" spans="1:2" ht="14.25" customHeight="1">
      <c r="A1673" s="7">
        <v>11521027</v>
      </c>
      <c r="B1673" s="8" t="s">
        <v>1013</v>
      </c>
    </row>
    <row r="1674" spans="1:2" ht="14.25" customHeight="1">
      <c r="A1674" s="7">
        <v>11521028</v>
      </c>
      <c r="B1674" s="8" t="s">
        <v>1013</v>
      </c>
    </row>
    <row r="1675" spans="1:2" ht="14.25" customHeight="1">
      <c r="A1675" s="7">
        <v>11521034</v>
      </c>
      <c r="B1675" s="8" t="s">
        <v>1014</v>
      </c>
    </row>
    <row r="1676" spans="1:2" ht="14.25" customHeight="1">
      <c r="A1676" s="7">
        <v>11521036</v>
      </c>
      <c r="B1676" s="8" t="s">
        <v>1014</v>
      </c>
    </row>
    <row r="1677" spans="1:2" ht="14.25" customHeight="1">
      <c r="A1677" s="7">
        <v>15010004</v>
      </c>
      <c r="B1677" s="8" t="s">
        <v>1015</v>
      </c>
    </row>
    <row r="1678" spans="1:2" ht="14.25" customHeight="1">
      <c r="A1678" s="7">
        <v>11530009</v>
      </c>
      <c r="B1678" s="8" t="s">
        <v>1016</v>
      </c>
    </row>
    <row r="1679" spans="1:2" ht="14.25" customHeight="1">
      <c r="A1679" s="7">
        <v>1159005</v>
      </c>
      <c r="B1679" s="8" t="s">
        <v>1017</v>
      </c>
    </row>
    <row r="1680" spans="1:2" ht="14.25" customHeight="1">
      <c r="A1680" s="7">
        <v>1151027</v>
      </c>
      <c r="B1680" s="8" t="s">
        <v>1018</v>
      </c>
    </row>
    <row r="1681" spans="1:2" ht="14.25" customHeight="1">
      <c r="A1681" s="7">
        <v>1151029</v>
      </c>
      <c r="B1681" s="8" t="s">
        <v>1018</v>
      </c>
    </row>
    <row r="1682" spans="1:2" ht="14.25" customHeight="1">
      <c r="A1682" s="7">
        <v>1151030</v>
      </c>
      <c r="B1682" s="8" t="s">
        <v>1018</v>
      </c>
    </row>
    <row r="1683" spans="1:2" ht="14.25" customHeight="1">
      <c r="A1683" s="7">
        <v>1159007</v>
      </c>
      <c r="B1683" s="8" t="s">
        <v>1018</v>
      </c>
    </row>
    <row r="1684" spans="1:2" ht="14.25" customHeight="1">
      <c r="A1684" s="7">
        <v>1151034</v>
      </c>
      <c r="B1684" s="8" t="s">
        <v>1019</v>
      </c>
    </row>
    <row r="1685" spans="1:2" ht="14.25" customHeight="1">
      <c r="A1685" s="7">
        <v>1173059</v>
      </c>
      <c r="B1685" s="8" t="s">
        <v>1019</v>
      </c>
    </row>
    <row r="1686" spans="1:2" ht="14.25" customHeight="1">
      <c r="A1686" s="7">
        <v>1173060</v>
      </c>
      <c r="B1686" s="8" t="s">
        <v>1019</v>
      </c>
    </row>
    <row r="1687" spans="1:2" ht="14.25" customHeight="1">
      <c r="A1687" s="7">
        <v>1173061</v>
      </c>
      <c r="B1687" s="8" t="s">
        <v>1019</v>
      </c>
    </row>
    <row r="1688" spans="1:2" ht="14.25" customHeight="1">
      <c r="A1688" s="7">
        <v>1173062</v>
      </c>
      <c r="B1688" s="8" t="s">
        <v>1019</v>
      </c>
    </row>
    <row r="1689" spans="1:2" ht="14.25" customHeight="1">
      <c r="A1689" s="7">
        <v>1173063</v>
      </c>
      <c r="B1689" s="8" t="s">
        <v>1019</v>
      </c>
    </row>
    <row r="1690" spans="1:2" ht="14.25" customHeight="1">
      <c r="A1690" s="7">
        <v>11530002</v>
      </c>
      <c r="B1690" s="8" t="s">
        <v>1020</v>
      </c>
    </row>
    <row r="1691" spans="1:2" ht="14.25" customHeight="1">
      <c r="A1691" s="7">
        <v>1173009</v>
      </c>
      <c r="B1691" s="8" t="s">
        <v>1021</v>
      </c>
    </row>
    <row r="1692" spans="1:2" ht="14.25" customHeight="1">
      <c r="A1692" s="7">
        <v>1173010</v>
      </c>
      <c r="B1692" s="8" t="s">
        <v>1021</v>
      </c>
    </row>
    <row r="1693" spans="1:2" ht="14.25" customHeight="1">
      <c r="A1693" s="7">
        <v>1173012</v>
      </c>
      <c r="B1693" s="8" t="s">
        <v>1021</v>
      </c>
    </row>
    <row r="1694" spans="1:2" ht="14.25" customHeight="1">
      <c r="A1694" s="7">
        <v>1173013</v>
      </c>
      <c r="B1694" s="8" t="s">
        <v>1021</v>
      </c>
    </row>
    <row r="1695" spans="1:2" ht="14.25" customHeight="1">
      <c r="A1695" s="7">
        <v>1173014</v>
      </c>
      <c r="B1695" s="8" t="s">
        <v>1021</v>
      </c>
    </row>
    <row r="1696" spans="1:2" ht="14.25" customHeight="1">
      <c r="A1696" s="7">
        <v>1173015</v>
      </c>
      <c r="B1696" s="8" t="s">
        <v>1021</v>
      </c>
    </row>
    <row r="1697" spans="1:2" ht="14.25" customHeight="1">
      <c r="A1697" s="7">
        <v>1173017</v>
      </c>
      <c r="B1697" s="8" t="s">
        <v>1021</v>
      </c>
    </row>
    <row r="1698" spans="1:2" ht="14.25" customHeight="1">
      <c r="A1698" s="7">
        <v>1173018</v>
      </c>
      <c r="B1698" s="8" t="s">
        <v>1021</v>
      </c>
    </row>
    <row r="1699" spans="1:2" ht="14.25" customHeight="1">
      <c r="A1699" s="7">
        <v>1173019</v>
      </c>
      <c r="B1699" s="8" t="s">
        <v>1021</v>
      </c>
    </row>
    <row r="1700" spans="1:2" ht="14.25" customHeight="1">
      <c r="A1700" s="7">
        <v>1173020</v>
      </c>
      <c r="B1700" s="8" t="s">
        <v>1021</v>
      </c>
    </row>
    <row r="1701" spans="1:2" ht="14.25" customHeight="1">
      <c r="A1701" s="7">
        <v>1173021</v>
      </c>
      <c r="B1701" s="8" t="s">
        <v>1021</v>
      </c>
    </row>
    <row r="1702" spans="1:2" ht="14.25" customHeight="1">
      <c r="A1702" s="7">
        <v>1173022</v>
      </c>
      <c r="B1702" s="8" t="s">
        <v>1021</v>
      </c>
    </row>
    <row r="1703" spans="1:2" ht="14.25" customHeight="1">
      <c r="A1703" s="7">
        <v>1173023</v>
      </c>
      <c r="B1703" s="8" t="s">
        <v>1021</v>
      </c>
    </row>
    <row r="1704" spans="1:2" ht="14.25" customHeight="1">
      <c r="A1704" s="7">
        <v>11522007</v>
      </c>
      <c r="B1704" s="8" t="s">
        <v>1021</v>
      </c>
    </row>
    <row r="1705" spans="1:2" ht="14.25" customHeight="1">
      <c r="A1705" s="7">
        <v>33090002</v>
      </c>
      <c r="B1705" s="8" t="s">
        <v>1022</v>
      </c>
    </row>
    <row r="1706" spans="1:2" ht="14.25" customHeight="1">
      <c r="A1706" s="7">
        <v>1172064</v>
      </c>
      <c r="B1706" s="8" t="s">
        <v>1023</v>
      </c>
    </row>
    <row r="1707" spans="1:2" ht="14.25" customHeight="1">
      <c r="A1707" s="7">
        <v>1172065</v>
      </c>
      <c r="B1707" s="8" t="s">
        <v>1023</v>
      </c>
    </row>
    <row r="1708" spans="1:2" ht="14.25" customHeight="1">
      <c r="A1708" s="7">
        <v>1173087</v>
      </c>
      <c r="B1708" s="8" t="s">
        <v>1023</v>
      </c>
    </row>
    <row r="1709" spans="1:2" ht="14.25" customHeight="1">
      <c r="A1709" s="7">
        <v>1173089</v>
      </c>
      <c r="B1709" s="8" t="s">
        <v>1023</v>
      </c>
    </row>
    <row r="1710" spans="1:2" ht="14.25" customHeight="1">
      <c r="A1710" s="7">
        <v>1173092</v>
      </c>
      <c r="B1710" s="8" t="s">
        <v>1023</v>
      </c>
    </row>
    <row r="1711" spans="1:2" ht="14.25" customHeight="1">
      <c r="A1711" s="7">
        <v>1173093</v>
      </c>
      <c r="B1711" s="8" t="s">
        <v>1023</v>
      </c>
    </row>
    <row r="1712" spans="1:2" ht="14.25" customHeight="1">
      <c r="A1712" s="7">
        <v>1173096</v>
      </c>
      <c r="B1712" s="8" t="s">
        <v>1024</v>
      </c>
    </row>
    <row r="1713" spans="1:2" ht="14.25" customHeight="1">
      <c r="A1713" s="7">
        <v>1173098</v>
      </c>
      <c r="B1713" s="8" t="s">
        <v>1024</v>
      </c>
    </row>
    <row r="1714" spans="1:2" ht="14.25" customHeight="1">
      <c r="A1714" s="7">
        <v>1173105</v>
      </c>
      <c r="B1714" s="8" t="s">
        <v>1024</v>
      </c>
    </row>
    <row r="1715" spans="1:2" ht="14.25" customHeight="1">
      <c r="A1715" s="7">
        <v>1173106</v>
      </c>
      <c r="B1715" s="8" t="s">
        <v>1024</v>
      </c>
    </row>
    <row r="1716" spans="1:2" ht="14.25" customHeight="1">
      <c r="A1716" s="7">
        <v>1173116</v>
      </c>
      <c r="B1716" s="8" t="s">
        <v>1024</v>
      </c>
    </row>
    <row r="1717" spans="1:2" ht="14.25" customHeight="1">
      <c r="A1717" s="7">
        <v>1173117</v>
      </c>
      <c r="B1717" s="8" t="s">
        <v>1024</v>
      </c>
    </row>
    <row r="1718" spans="1:2" ht="14.25" customHeight="1">
      <c r="A1718" s="7">
        <v>11519003</v>
      </c>
      <c r="B1718" s="8" t="s">
        <v>1024</v>
      </c>
    </row>
    <row r="1719" spans="1:2" ht="14.25" customHeight="1">
      <c r="A1719" s="7">
        <v>11519005</v>
      </c>
      <c r="B1719" s="8" t="s">
        <v>1025</v>
      </c>
    </row>
    <row r="1720" spans="1:2" ht="14.25" customHeight="1">
      <c r="A1720" s="7">
        <v>11519009</v>
      </c>
      <c r="B1720" s="8" t="s">
        <v>1025</v>
      </c>
    </row>
    <row r="1721" spans="1:2" ht="14.25" customHeight="1">
      <c r="A1721" s="7">
        <v>1177001</v>
      </c>
      <c r="B1721" s="8" t="s">
        <v>1026</v>
      </c>
    </row>
    <row r="1722" spans="1:2" ht="14.25" customHeight="1">
      <c r="A1722" s="7">
        <v>1177003</v>
      </c>
      <c r="B1722" s="8" t="s">
        <v>1026</v>
      </c>
    </row>
    <row r="1723" spans="1:2" ht="14.25" customHeight="1">
      <c r="A1723" s="7">
        <v>13100003</v>
      </c>
      <c r="B1723" s="8" t="s">
        <v>1027</v>
      </c>
    </row>
    <row r="1724" spans="1:2" ht="14.25" customHeight="1">
      <c r="A1724" s="7">
        <v>13100004</v>
      </c>
      <c r="B1724" s="8" t="s">
        <v>1027</v>
      </c>
    </row>
    <row r="1725" spans="1:2" ht="14.25" customHeight="1">
      <c r="A1725" s="7">
        <v>13100005</v>
      </c>
      <c r="B1725" s="8" t="s">
        <v>1027</v>
      </c>
    </row>
    <row r="1726" spans="1:2" ht="14.25" customHeight="1">
      <c r="A1726" s="7">
        <v>13100006</v>
      </c>
      <c r="B1726" s="8" t="s">
        <v>1027</v>
      </c>
    </row>
    <row r="1727" spans="1:2" ht="14.25" customHeight="1">
      <c r="A1727" s="7">
        <v>13100017</v>
      </c>
      <c r="B1727" s="8" t="s">
        <v>1027</v>
      </c>
    </row>
    <row r="1728" spans="1:2" ht="14.25" customHeight="1">
      <c r="A1728" s="7">
        <v>15048026</v>
      </c>
      <c r="B1728" s="8" t="s">
        <v>1027</v>
      </c>
    </row>
    <row r="1729" spans="1:2" ht="14.25" customHeight="1">
      <c r="A1729" s="7">
        <v>23100002</v>
      </c>
      <c r="B1729" s="8" t="s">
        <v>1027</v>
      </c>
    </row>
    <row r="1730" spans="1:2" ht="14.25" customHeight="1">
      <c r="A1730" s="7">
        <v>17320843</v>
      </c>
      <c r="B1730" s="8" t="s">
        <v>1028</v>
      </c>
    </row>
    <row r="1731" spans="1:2" ht="14.25" customHeight="1">
      <c r="A1731" s="7">
        <v>17320844</v>
      </c>
      <c r="B1731" s="8" t="s">
        <v>1028</v>
      </c>
    </row>
    <row r="1732" spans="1:2" ht="14.25" customHeight="1">
      <c r="A1732" s="7">
        <v>17320845</v>
      </c>
      <c r="B1732" s="8" t="s">
        <v>1028</v>
      </c>
    </row>
    <row r="1733" spans="1:2" ht="14.25" customHeight="1">
      <c r="A1733" s="7">
        <v>17320846</v>
      </c>
      <c r="B1733" s="8" t="s">
        <v>1028</v>
      </c>
    </row>
    <row r="1734" spans="1:2" ht="14.25" customHeight="1">
      <c r="A1734" s="7">
        <v>17320847</v>
      </c>
      <c r="B1734" s="8" t="s">
        <v>1028</v>
      </c>
    </row>
    <row r="1735" spans="1:2" ht="14.25" customHeight="1">
      <c r="A1735" s="7">
        <v>17320850</v>
      </c>
      <c r="B1735" s="8" t="s">
        <v>1028</v>
      </c>
    </row>
    <row r="1736" spans="1:2" ht="14.25" customHeight="1">
      <c r="A1736" s="7">
        <v>1157009</v>
      </c>
      <c r="B1736" s="8" t="s">
        <v>1029</v>
      </c>
    </row>
    <row r="1737" spans="1:2" ht="14.25" customHeight="1">
      <c r="A1737" s="7">
        <v>17320842</v>
      </c>
      <c r="B1737" s="8" t="s">
        <v>1030</v>
      </c>
    </row>
    <row r="1738" spans="1:2" ht="14.25" customHeight="1">
      <c r="A1738" s="7">
        <v>1173094</v>
      </c>
      <c r="B1738" s="8" t="s">
        <v>1031</v>
      </c>
    </row>
    <row r="1739" spans="1:2" ht="14.25" customHeight="1">
      <c r="A1739" s="7">
        <v>17320830</v>
      </c>
      <c r="B1739" s="8" t="s">
        <v>1032</v>
      </c>
    </row>
    <row r="1740" spans="1:2" ht="14.25" customHeight="1">
      <c r="A1740" s="7">
        <v>32080007</v>
      </c>
      <c r="B1740" s="8" t="s">
        <v>1033</v>
      </c>
    </row>
    <row r="1741" spans="1:2" ht="14.25" customHeight="1">
      <c r="A1741" s="7">
        <v>41521042</v>
      </c>
      <c r="B1741" s="8" t="s">
        <v>1034</v>
      </c>
    </row>
    <row r="1742" spans="1:2" ht="14.25" customHeight="1">
      <c r="A1742" s="7">
        <v>22030121</v>
      </c>
      <c r="B1742" s="8" t="s">
        <v>1035</v>
      </c>
    </row>
    <row r="1743" spans="1:2" ht="14.25" customHeight="1">
      <c r="A1743" s="7">
        <v>22080011</v>
      </c>
      <c r="B1743" s="8" t="s">
        <v>1036</v>
      </c>
    </row>
    <row r="1744" spans="1:2" ht="14.25" customHeight="1">
      <c r="A1744" s="7">
        <v>22080012</v>
      </c>
      <c r="B1744" s="8" t="s">
        <v>1036</v>
      </c>
    </row>
    <row r="1745" spans="1:2" ht="14.25" customHeight="1">
      <c r="A1745" s="7">
        <v>22080018</v>
      </c>
      <c r="B1745" s="8" t="s">
        <v>1036</v>
      </c>
    </row>
    <row r="1746" spans="1:2" ht="14.25" customHeight="1">
      <c r="A1746" s="7">
        <v>22080030</v>
      </c>
      <c r="B1746" s="8" t="s">
        <v>1036</v>
      </c>
    </row>
    <row r="1747" spans="1:2" ht="14.25" customHeight="1">
      <c r="A1747" s="7">
        <v>32080006</v>
      </c>
      <c r="B1747" s="8" t="s">
        <v>1036</v>
      </c>
    </row>
    <row r="1748" spans="1:2" ht="14.25" customHeight="1">
      <c r="A1748" s="7">
        <v>1770096</v>
      </c>
      <c r="B1748" s="8" t="s">
        <v>1037</v>
      </c>
    </row>
    <row r="1749" spans="1:2" ht="14.25" customHeight="1">
      <c r="A1749" s="7">
        <v>22080033</v>
      </c>
      <c r="B1749" s="8" t="s">
        <v>1038</v>
      </c>
    </row>
    <row r="1750" spans="1:2" ht="14.25" customHeight="1">
      <c r="A1750" s="7">
        <v>32080003</v>
      </c>
      <c r="B1750" s="8" t="s">
        <v>1038</v>
      </c>
    </row>
    <row r="1751" spans="1:2" ht="14.25" customHeight="1">
      <c r="A1751" s="7">
        <v>32030042</v>
      </c>
      <c r="B1751" s="8" t="s">
        <v>1039</v>
      </c>
    </row>
    <row r="1752" spans="1:2" ht="14.25" customHeight="1">
      <c r="A1752" s="7">
        <v>45005090</v>
      </c>
      <c r="B1752" s="8" t="s">
        <v>1039</v>
      </c>
    </row>
    <row r="1753" spans="1:2" ht="14.25" customHeight="1">
      <c r="A1753" s="7">
        <v>32080005</v>
      </c>
      <c r="B1753" s="8" t="s">
        <v>1040</v>
      </c>
    </row>
    <row r="1754" spans="1:2" ht="14.25" customHeight="1">
      <c r="A1754" s="7">
        <v>22080022</v>
      </c>
      <c r="B1754" s="8" t="s">
        <v>1041</v>
      </c>
    </row>
    <row r="1755" spans="1:2" ht="14.25" customHeight="1">
      <c r="A1755" s="7">
        <v>41521044</v>
      </c>
      <c r="B1755" s="8" t="s">
        <v>1042</v>
      </c>
    </row>
    <row r="1756" spans="1:2" ht="14.25" customHeight="1">
      <c r="A1756" s="7">
        <v>41521048</v>
      </c>
      <c r="B1756" s="8" t="s">
        <v>1042</v>
      </c>
    </row>
    <row r="1757" spans="1:2" ht="14.25" customHeight="1">
      <c r="A1757" s="7">
        <v>41521049</v>
      </c>
      <c r="B1757" s="8" t="s">
        <v>1042</v>
      </c>
    </row>
    <row r="1758" spans="1:2" ht="14.25" customHeight="1">
      <c r="A1758" s="7">
        <v>41521050</v>
      </c>
      <c r="B1758" s="8" t="s">
        <v>1042</v>
      </c>
    </row>
    <row r="1759" spans="1:2" ht="14.25" customHeight="1">
      <c r="A1759" s="7">
        <v>41521051</v>
      </c>
      <c r="B1759" s="8" t="s">
        <v>1042</v>
      </c>
    </row>
    <row r="1760" spans="1:2" ht="14.25" customHeight="1">
      <c r="A1760" s="7">
        <v>41521052</v>
      </c>
      <c r="B1760" s="8" t="s">
        <v>1042</v>
      </c>
    </row>
    <row r="1761" spans="1:2" ht="14.25" customHeight="1">
      <c r="A1761" s="7">
        <v>41521053</v>
      </c>
      <c r="B1761" s="8" t="s">
        <v>1042</v>
      </c>
    </row>
    <row r="1762" spans="1:2" ht="14.25" customHeight="1">
      <c r="A1762" s="7">
        <v>41521054</v>
      </c>
      <c r="B1762" s="8" t="s">
        <v>1042</v>
      </c>
    </row>
    <row r="1763" spans="1:2" ht="14.25" customHeight="1">
      <c r="A1763" s="7">
        <v>41521055</v>
      </c>
      <c r="B1763" s="8" t="s">
        <v>1042</v>
      </c>
    </row>
    <row r="1764" spans="1:2" ht="14.25" customHeight="1">
      <c r="A1764" s="7">
        <v>41522065</v>
      </c>
      <c r="B1764" s="8" t="s">
        <v>1043</v>
      </c>
    </row>
    <row r="1765" spans="1:2" ht="14.25" customHeight="1">
      <c r="A1765" s="7">
        <v>41521032</v>
      </c>
      <c r="B1765" s="8" t="s">
        <v>1044</v>
      </c>
    </row>
    <row r="1766" spans="1:2" ht="14.25" customHeight="1">
      <c r="A1766" s="7">
        <v>41521033</v>
      </c>
      <c r="B1766" s="8" t="s">
        <v>1044</v>
      </c>
    </row>
    <row r="1767" spans="1:2" ht="14.25" customHeight="1">
      <c r="A1767" s="7">
        <v>41521034</v>
      </c>
      <c r="B1767" s="8" t="s">
        <v>1044</v>
      </c>
    </row>
    <row r="1768" spans="1:2" ht="14.25" customHeight="1">
      <c r="A1768" s="7">
        <v>41521035</v>
      </c>
      <c r="B1768" s="8" t="s">
        <v>1044</v>
      </c>
    </row>
    <row r="1769" spans="1:2" ht="14.25" customHeight="1">
      <c r="A1769" s="7">
        <v>41521036</v>
      </c>
      <c r="B1769" s="8" t="s">
        <v>1044</v>
      </c>
    </row>
    <row r="1770" spans="1:2" ht="14.25" customHeight="1">
      <c r="A1770" s="7">
        <v>41521037</v>
      </c>
      <c r="B1770" s="8" t="s">
        <v>1044</v>
      </c>
    </row>
    <row r="1771" spans="1:2" ht="14.25" customHeight="1">
      <c r="A1771" s="7">
        <v>41521038</v>
      </c>
      <c r="B1771" s="8" t="s">
        <v>1044</v>
      </c>
    </row>
    <row r="1772" spans="1:2" ht="14.25" customHeight="1">
      <c r="A1772" s="7">
        <v>41521039</v>
      </c>
      <c r="B1772" s="8" t="s">
        <v>1044</v>
      </c>
    </row>
    <row r="1773" spans="1:2" ht="14.25" customHeight="1">
      <c r="A1773" s="7">
        <v>41521040</v>
      </c>
      <c r="B1773" s="8" t="s">
        <v>1044</v>
      </c>
    </row>
    <row r="1774" spans="1:2" ht="14.25" customHeight="1">
      <c r="A1774" s="7">
        <v>41521041</v>
      </c>
      <c r="B1774" s="8" t="s">
        <v>1044</v>
      </c>
    </row>
    <row r="1775" spans="1:2" ht="14.25" customHeight="1">
      <c r="A1775" s="7">
        <v>15048015</v>
      </c>
      <c r="B1775" s="8" t="s">
        <v>1008</v>
      </c>
    </row>
    <row r="1776" spans="1:2" ht="14.25" customHeight="1">
      <c r="A1776" s="7">
        <v>22030426</v>
      </c>
      <c r="B1776" s="8" t="s">
        <v>623</v>
      </c>
    </row>
    <row r="1777" spans="1:2" ht="14.25" customHeight="1">
      <c r="A1777" s="7">
        <v>51507013</v>
      </c>
      <c r="B1777" s="8" t="s">
        <v>758</v>
      </c>
    </row>
    <row r="1778" spans="1:2" ht="14.25" customHeight="1">
      <c r="A1778" s="7">
        <v>43080001</v>
      </c>
      <c r="B1778" s="8" t="s">
        <v>1045</v>
      </c>
    </row>
    <row r="1779" spans="1:2" ht="14.25" customHeight="1">
      <c r="A1779" s="7">
        <v>85048095</v>
      </c>
      <c r="B1779" s="8" t="s">
        <v>898</v>
      </c>
    </row>
    <row r="1780" spans="1:2" ht="14.25" customHeight="1">
      <c r="A1780" s="7">
        <v>16170054</v>
      </c>
      <c r="B1780" s="8" t="s">
        <v>1046</v>
      </c>
    </row>
    <row r="1781" spans="1:2" ht="14.25" customHeight="1">
      <c r="A1781" s="7">
        <v>22080109</v>
      </c>
      <c r="B1781" s="8" t="s">
        <v>1047</v>
      </c>
    </row>
    <row r="1782" spans="1:2" ht="14.25" customHeight="1">
      <c r="A1782" s="7">
        <v>11040022</v>
      </c>
      <c r="B1782" s="8" t="s">
        <v>724</v>
      </c>
    </row>
    <row r="1783" spans="1:2" ht="14.25" customHeight="1">
      <c r="A1783" s="7">
        <v>15690001</v>
      </c>
      <c r="B1783" s="8" t="s">
        <v>1048</v>
      </c>
    </row>
    <row r="1784" spans="1:2" ht="14.25" customHeight="1">
      <c r="A1784" s="7">
        <v>45048035</v>
      </c>
      <c r="B1784" s="8" t="s">
        <v>1042</v>
      </c>
    </row>
    <row r="1785" spans="1:2" ht="14.25" customHeight="1">
      <c r="A1785" s="7">
        <v>12060001</v>
      </c>
      <c r="B1785" s="8" t="s">
        <v>1049</v>
      </c>
    </row>
    <row r="1786" spans="1:2" ht="14.25" customHeight="1">
      <c r="A1786" s="7">
        <v>12060004</v>
      </c>
      <c r="B1786" s="8" t="s">
        <v>1049</v>
      </c>
    </row>
    <row r="1787" spans="1:2" ht="14.25" customHeight="1">
      <c r="A1787" s="7">
        <v>8173200</v>
      </c>
      <c r="B1787" s="8" t="s">
        <v>958</v>
      </c>
    </row>
    <row r="1788" spans="1:2" ht="14.25" customHeight="1">
      <c r="A1788" s="7">
        <v>900258</v>
      </c>
      <c r="B1788" s="8" t="s">
        <v>1050</v>
      </c>
    </row>
    <row r="1789" spans="1:2" ht="14.25" customHeight="1">
      <c r="A1789" s="7">
        <v>18010001</v>
      </c>
      <c r="B1789" s="8" t="s">
        <v>1051</v>
      </c>
    </row>
    <row r="1790" spans="1:2" ht="14.25" customHeight="1">
      <c r="A1790" s="7">
        <v>18010002</v>
      </c>
      <c r="B1790" s="8" t="s">
        <v>1051</v>
      </c>
    </row>
    <row r="1791" spans="1:2" ht="14.25" customHeight="1">
      <c r="A1791" s="7">
        <v>11521030</v>
      </c>
      <c r="B1791" s="8" t="s">
        <v>1007</v>
      </c>
    </row>
    <row r="1792" spans="1:2" ht="14.25" customHeight="1">
      <c r="A1792" s="7">
        <v>15048016</v>
      </c>
      <c r="B1792" s="8" t="s">
        <v>1008</v>
      </c>
    </row>
    <row r="1793" spans="1:2" ht="14.25" customHeight="1">
      <c r="A1793" s="7" t="s">
        <v>1052</v>
      </c>
      <c r="B1793" s="8" t="s">
        <v>1053</v>
      </c>
    </row>
    <row r="1794" spans="1:2">
      <c r="A1794" s="7">
        <v>23220003</v>
      </c>
      <c r="B1794" s="8" t="s">
        <v>759</v>
      </c>
    </row>
    <row r="1795" spans="1:2">
      <c r="A1795" s="7">
        <v>13150004</v>
      </c>
      <c r="B1795" s="7" t="s">
        <v>1054</v>
      </c>
    </row>
    <row r="1796" spans="1:2">
      <c r="A1796" s="31">
        <v>43150004</v>
      </c>
      <c r="B1796" s="8" t="s">
        <v>1055</v>
      </c>
    </row>
    <row r="1797" spans="1:2">
      <c r="A1797" s="21">
        <v>12060002</v>
      </c>
      <c r="B1797" s="8" t="s">
        <v>1049</v>
      </c>
    </row>
    <row r="1798" spans="1:2">
      <c r="A1798" s="21">
        <v>12060003</v>
      </c>
      <c r="B1798" s="8" t="s">
        <v>1049</v>
      </c>
    </row>
    <row r="1799" spans="1:2">
      <c r="A1799" s="7">
        <v>15730003</v>
      </c>
      <c r="B1799" s="8" t="s">
        <v>830</v>
      </c>
    </row>
    <row r="1800" spans="1:2">
      <c r="A1800" s="21">
        <v>17020053</v>
      </c>
      <c r="B1800" s="8" t="s">
        <v>981</v>
      </c>
    </row>
    <row r="1801" spans="1:2">
      <c r="A1801" s="21">
        <v>17020051</v>
      </c>
      <c r="B1801" s="8" t="s">
        <v>981</v>
      </c>
    </row>
    <row r="1802" spans="1:2">
      <c r="A1802" s="21">
        <v>51519055</v>
      </c>
      <c r="B1802" s="8" t="s">
        <v>759</v>
      </c>
    </row>
    <row r="1803" spans="1:2">
      <c r="A1803" s="21">
        <v>17020055</v>
      </c>
      <c r="B1803" s="8" t="s">
        <v>980</v>
      </c>
    </row>
    <row r="1804" spans="1:2">
      <c r="A1804" s="7">
        <v>15430003</v>
      </c>
      <c r="B1804" s="8" t="s">
        <v>1056</v>
      </c>
    </row>
    <row r="1805" spans="1:2">
      <c r="A1805" s="7">
        <v>61521065</v>
      </c>
      <c r="B1805" s="8" t="s">
        <v>1057</v>
      </c>
    </row>
    <row r="1806" spans="1:2">
      <c r="A1806" s="21">
        <v>12010015</v>
      </c>
      <c r="B1806" s="8" t="s">
        <v>1058</v>
      </c>
    </row>
    <row r="1807" spans="1:2">
      <c r="A1807" s="31">
        <v>500580579</v>
      </c>
      <c r="B1807" s="8" t="s">
        <v>1059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96"/>
  <sheetViews>
    <sheetView tabSelected="1" topLeftCell="B1" zoomScale="90" zoomScaleNormal="90" workbookViewId="0">
      <pane ySplit="2" topLeftCell="A1483" activePane="bottomLeft" state="frozen"/>
      <selection pane="bottomLeft" activeCell="F2205" sqref="F2205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1060</v>
      </c>
      <c r="B2" s="24" t="s">
        <v>1061</v>
      </c>
      <c r="C2" s="24" t="s">
        <v>1062</v>
      </c>
      <c r="D2" s="24" t="s">
        <v>375</v>
      </c>
      <c r="E2" s="24" t="s">
        <v>1063</v>
      </c>
      <c r="F2" s="28" t="s">
        <v>1064</v>
      </c>
      <c r="G2" s="27" t="s">
        <v>1065</v>
      </c>
      <c r="H2" s="27" t="s">
        <v>1066</v>
      </c>
      <c r="I2" s="24" t="s">
        <v>1067</v>
      </c>
      <c r="J2" s="24" t="s">
        <v>1068</v>
      </c>
      <c r="K2" s="24" t="s">
        <v>1069</v>
      </c>
      <c r="L2" s="24" t="s">
        <v>1070</v>
      </c>
      <c r="M2" s="24" t="s">
        <v>1071</v>
      </c>
      <c r="N2" s="25" t="s">
        <v>1072</v>
      </c>
      <c r="O2" s="24" t="s">
        <v>1073</v>
      </c>
      <c r="P2" s="24" t="s">
        <v>1074</v>
      </c>
      <c r="Q2" s="28" t="s">
        <v>1075</v>
      </c>
      <c r="R2" s="35" t="s">
        <v>1076</v>
      </c>
    </row>
    <row r="3" spans="1:18" ht="18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1077</v>
      </c>
      <c r="K3" s="18">
        <v>9728651</v>
      </c>
      <c r="L3" s="18">
        <v>834744</v>
      </c>
      <c r="M3" s="18" t="s">
        <v>1078</v>
      </c>
      <c r="N3" s="16" t="s">
        <v>1079</v>
      </c>
      <c r="O3" s="18" t="s">
        <v>1080</v>
      </c>
      <c r="P3" s="18" t="s">
        <v>1081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1077</v>
      </c>
      <c r="K4" s="18">
        <v>9728651</v>
      </c>
      <c r="L4" s="18">
        <v>834744</v>
      </c>
      <c r="M4" s="18" t="s">
        <v>1078</v>
      </c>
      <c r="N4" s="16" t="s">
        <v>1079</v>
      </c>
      <c r="O4" s="18" t="s">
        <v>1080</v>
      </c>
      <c r="P4" s="18" t="s">
        <v>1081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1082</v>
      </c>
      <c r="K5" s="18">
        <v>9717127</v>
      </c>
      <c r="L5" s="18">
        <v>834504</v>
      </c>
      <c r="M5" s="18" t="s">
        <v>1083</v>
      </c>
      <c r="N5" s="16" t="s">
        <v>1079</v>
      </c>
      <c r="O5" s="18" t="s">
        <v>1084</v>
      </c>
      <c r="P5" s="18" t="s">
        <v>1085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1082</v>
      </c>
      <c r="K6" s="18">
        <v>9717126</v>
      </c>
      <c r="L6" s="18">
        <v>835075</v>
      </c>
      <c r="M6" s="18" t="s">
        <v>1086</v>
      </c>
      <c r="N6" s="16" t="s">
        <v>1079</v>
      </c>
      <c r="O6" s="18" t="s">
        <v>1087</v>
      </c>
      <c r="P6" s="18" t="s">
        <v>1085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1082</v>
      </c>
      <c r="K7" s="18">
        <v>9716393</v>
      </c>
      <c r="L7" s="18">
        <v>834539</v>
      </c>
      <c r="M7" s="18" t="s">
        <v>1088</v>
      </c>
      <c r="N7" s="16" t="s">
        <v>1089</v>
      </c>
      <c r="O7" s="18" t="s">
        <v>1090</v>
      </c>
      <c r="P7" s="18" t="s">
        <v>1091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1082</v>
      </c>
      <c r="K8" s="18"/>
      <c r="L8" s="18" t="s">
        <v>1092</v>
      </c>
      <c r="M8" s="18" t="s">
        <v>1092</v>
      </c>
      <c r="N8" s="16" t="s">
        <v>1092</v>
      </c>
      <c r="O8" s="18" t="s">
        <v>1092</v>
      </c>
      <c r="P8" s="18" t="s">
        <v>1092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customHeight="1">
      <c r="A9" s="16">
        <v>46027</v>
      </c>
      <c r="B9" s="16">
        <v>46031</v>
      </c>
      <c r="C9" s="21" t="s">
        <v>1093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1094</v>
      </c>
      <c r="K9" s="18" t="s">
        <v>1095</v>
      </c>
      <c r="L9" s="18">
        <v>833348</v>
      </c>
      <c r="M9" s="18" t="s">
        <v>1096</v>
      </c>
      <c r="N9" s="16" t="s">
        <v>1079</v>
      </c>
      <c r="O9" s="18" t="s">
        <v>1097</v>
      </c>
      <c r="P9" s="18" t="s">
        <v>1098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customHeight="1">
      <c r="A10" s="16">
        <v>46027</v>
      </c>
      <c r="B10" s="16">
        <v>46031</v>
      </c>
      <c r="C10" s="21" t="s">
        <v>1099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1094</v>
      </c>
      <c r="K10" s="18" t="s">
        <v>1100</v>
      </c>
      <c r="L10" s="18">
        <v>833725</v>
      </c>
      <c r="M10" s="18" t="s">
        <v>1101</v>
      </c>
      <c r="N10" s="16" t="s">
        <v>1079</v>
      </c>
      <c r="O10" s="18" t="s">
        <v>1102</v>
      </c>
      <c r="P10" s="18" t="s">
        <v>1098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1094</v>
      </c>
      <c r="K11" s="18">
        <v>9727708</v>
      </c>
      <c r="L11" s="18">
        <v>833348</v>
      </c>
      <c r="M11" s="18" t="s">
        <v>1096</v>
      </c>
      <c r="N11" s="16" t="s">
        <v>1079</v>
      </c>
      <c r="O11" s="18" t="s">
        <v>1097</v>
      </c>
      <c r="P11" s="18" t="s">
        <v>1098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1094</v>
      </c>
      <c r="K12" s="18">
        <v>9727709</v>
      </c>
      <c r="L12" s="18">
        <v>833348</v>
      </c>
      <c r="M12" s="18" t="s">
        <v>1096</v>
      </c>
      <c r="N12" s="16" t="s">
        <v>1079</v>
      </c>
      <c r="O12" s="18" t="s">
        <v>1097</v>
      </c>
      <c r="P12" s="18" t="s">
        <v>1098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customHeight="1">
      <c r="A13" s="16">
        <v>46027</v>
      </c>
      <c r="B13" s="16">
        <v>46031</v>
      </c>
      <c r="C13" s="21" t="s">
        <v>1103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1094</v>
      </c>
      <c r="K13" s="18" t="s">
        <v>1104</v>
      </c>
      <c r="L13" s="18">
        <v>833725</v>
      </c>
      <c r="M13" s="18" t="s">
        <v>1101</v>
      </c>
      <c r="N13" s="16" t="s">
        <v>1079</v>
      </c>
      <c r="O13" s="18" t="s">
        <v>1102</v>
      </c>
      <c r="P13" s="18" t="s">
        <v>1098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1094</v>
      </c>
      <c r="K14" s="18">
        <v>9727769</v>
      </c>
      <c r="L14" s="18">
        <v>833725</v>
      </c>
      <c r="M14" s="18" t="s">
        <v>1101</v>
      </c>
      <c r="N14" s="16" t="s">
        <v>1079</v>
      </c>
      <c r="O14" s="18" t="s">
        <v>1102</v>
      </c>
      <c r="P14" s="18" t="s">
        <v>1098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1094</v>
      </c>
      <c r="K15" s="18">
        <v>9727707</v>
      </c>
      <c r="L15" s="18">
        <v>833348</v>
      </c>
      <c r="M15" s="18" t="s">
        <v>1096</v>
      </c>
      <c r="N15" s="16" t="s">
        <v>1079</v>
      </c>
      <c r="O15" s="18" t="s">
        <v>1097</v>
      </c>
      <c r="P15" s="18" t="s">
        <v>1098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customHeight="1">
      <c r="A16" s="16">
        <v>46027</v>
      </c>
      <c r="B16" s="16">
        <v>46031</v>
      </c>
      <c r="C16" s="21" t="s">
        <v>1105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1094</v>
      </c>
      <c r="K16" s="18" t="s">
        <v>1106</v>
      </c>
      <c r="L16" s="18">
        <v>833348</v>
      </c>
      <c r="M16" s="18" t="s">
        <v>1096</v>
      </c>
      <c r="N16" s="16" t="s">
        <v>1079</v>
      </c>
      <c r="O16" s="18" t="s">
        <v>1097</v>
      </c>
      <c r="P16" s="18" t="s">
        <v>1098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customHeight="1">
      <c r="A17" s="16">
        <v>46027</v>
      </c>
      <c r="B17" s="16">
        <v>46031</v>
      </c>
      <c r="C17" s="21" t="s">
        <v>1107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1094</v>
      </c>
      <c r="K17" s="18" t="s">
        <v>1108</v>
      </c>
      <c r="L17" s="18">
        <v>833725</v>
      </c>
      <c r="M17" s="18" t="s">
        <v>1101</v>
      </c>
      <c r="N17" s="16" t="s">
        <v>1079</v>
      </c>
      <c r="O17" s="18" t="s">
        <v>1102</v>
      </c>
      <c r="P17" s="18" t="s">
        <v>1098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1094</v>
      </c>
      <c r="K18" s="18">
        <v>9727713</v>
      </c>
      <c r="L18" s="18">
        <v>833725</v>
      </c>
      <c r="M18" s="18" t="s">
        <v>1101</v>
      </c>
      <c r="N18" s="16" t="s">
        <v>1079</v>
      </c>
      <c r="O18" s="18" t="s">
        <v>1102</v>
      </c>
      <c r="P18" s="18" t="s">
        <v>1098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1109</v>
      </c>
      <c r="G19" s="22">
        <v>6800</v>
      </c>
      <c r="H19" s="22"/>
      <c r="I19" s="22">
        <f t="shared" si="0"/>
        <v>6800</v>
      </c>
      <c r="J19" s="18" t="s">
        <v>1110</v>
      </c>
      <c r="K19" s="18">
        <v>9727778</v>
      </c>
      <c r="L19" s="18">
        <v>834406</v>
      </c>
      <c r="M19" s="18" t="s">
        <v>1111</v>
      </c>
      <c r="N19" s="16" t="s">
        <v>1079</v>
      </c>
      <c r="O19" s="18" t="s">
        <v>1112</v>
      </c>
      <c r="P19" s="18" t="s">
        <v>1079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1113</v>
      </c>
      <c r="G20" s="22">
        <v>1255</v>
      </c>
      <c r="H20" s="22"/>
      <c r="I20" s="22">
        <f t="shared" si="0"/>
        <v>1255</v>
      </c>
      <c r="J20" s="18" t="s">
        <v>1082</v>
      </c>
      <c r="K20" s="18">
        <v>9727777</v>
      </c>
      <c r="L20" s="18">
        <v>834406</v>
      </c>
      <c r="M20" s="18" t="s">
        <v>1111</v>
      </c>
      <c r="N20" s="16" t="s">
        <v>1079</v>
      </c>
      <c r="O20" s="18" t="s">
        <v>1112</v>
      </c>
      <c r="P20" s="18" t="s">
        <v>1079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1082</v>
      </c>
      <c r="K21" s="18">
        <v>972775</v>
      </c>
      <c r="L21" s="18">
        <v>833046</v>
      </c>
      <c r="M21" s="18" t="s">
        <v>1114</v>
      </c>
      <c r="N21" s="16" t="s">
        <v>1115</v>
      </c>
      <c r="O21" s="18" t="s">
        <v>1116</v>
      </c>
      <c r="P21" s="18" t="s">
        <v>1117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1082</v>
      </c>
      <c r="K22" s="18">
        <v>972774</v>
      </c>
      <c r="L22" s="18">
        <v>833046</v>
      </c>
      <c r="M22" s="18" t="s">
        <v>1114</v>
      </c>
      <c r="N22" s="16" t="s">
        <v>1115</v>
      </c>
      <c r="O22" s="18" t="s">
        <v>1116</v>
      </c>
      <c r="P22" s="18" t="s">
        <v>1117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1082</v>
      </c>
      <c r="K23" s="18">
        <v>9728566</v>
      </c>
      <c r="L23" s="18">
        <v>834674</v>
      </c>
      <c r="M23" s="18" t="s">
        <v>1118</v>
      </c>
      <c r="N23" s="16" t="s">
        <v>1079</v>
      </c>
      <c r="O23" s="18" t="s">
        <v>1119</v>
      </c>
      <c r="P23" s="18" t="s">
        <v>1085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1120</v>
      </c>
      <c r="K24" s="18">
        <v>9728535</v>
      </c>
      <c r="L24" s="18">
        <v>856261</v>
      </c>
      <c r="M24" s="18" t="s">
        <v>1121</v>
      </c>
      <c r="N24" s="16" t="s">
        <v>1122</v>
      </c>
      <c r="O24" s="18" t="s">
        <v>1123</v>
      </c>
      <c r="P24" s="18" t="s">
        <v>1124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1082</v>
      </c>
      <c r="K25" s="18">
        <v>9728566</v>
      </c>
      <c r="L25" s="18">
        <v>834674</v>
      </c>
      <c r="M25" s="18" t="s">
        <v>1118</v>
      </c>
      <c r="N25" s="16" t="s">
        <v>1079</v>
      </c>
      <c r="O25" s="18" t="s">
        <v>1119</v>
      </c>
      <c r="P25" s="18" t="s">
        <v>1085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1082</v>
      </c>
      <c r="K26" s="18">
        <v>9728563</v>
      </c>
      <c r="L26" s="18">
        <v>834708</v>
      </c>
      <c r="M26" s="18" t="s">
        <v>1092</v>
      </c>
      <c r="N26" s="16" t="s">
        <v>1092</v>
      </c>
      <c r="O26" s="18" t="s">
        <v>1092</v>
      </c>
      <c r="P26" s="18" t="s">
        <v>1092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1082</v>
      </c>
      <c r="K27" s="18">
        <v>9728563</v>
      </c>
      <c r="L27" s="18">
        <v>834708</v>
      </c>
      <c r="M27" s="18" t="s">
        <v>1092</v>
      </c>
      <c r="N27" s="16" t="s">
        <v>1092</v>
      </c>
      <c r="O27" s="18" t="s">
        <v>1092</v>
      </c>
      <c r="P27" s="18" t="s">
        <v>1092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1120</v>
      </c>
      <c r="K28" s="18">
        <v>9728535</v>
      </c>
      <c r="L28" s="18">
        <v>856261</v>
      </c>
      <c r="M28" s="18" t="s">
        <v>1125</v>
      </c>
      <c r="N28" s="16" t="s">
        <v>1122</v>
      </c>
      <c r="O28" s="18" t="s">
        <v>1092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1082</v>
      </c>
      <c r="K29" s="18">
        <v>9727770</v>
      </c>
      <c r="L29" s="18">
        <v>834823</v>
      </c>
      <c r="M29" s="18" t="s">
        <v>1126</v>
      </c>
      <c r="N29" s="16" t="s">
        <v>1079</v>
      </c>
      <c r="O29" s="18" t="s">
        <v>1092</v>
      </c>
      <c r="P29" s="18" t="s">
        <v>1127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1082</v>
      </c>
      <c r="K30" s="18">
        <v>9727773</v>
      </c>
      <c r="L30" s="18">
        <v>834968</v>
      </c>
      <c r="M30" s="18" t="s">
        <v>1128</v>
      </c>
      <c r="N30" s="16" t="s">
        <v>1079</v>
      </c>
      <c r="O30" s="18" t="s">
        <v>1092</v>
      </c>
      <c r="P30" s="18" t="s">
        <v>1129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1082</v>
      </c>
      <c r="K31" s="18">
        <v>9731110</v>
      </c>
      <c r="L31" s="18">
        <v>835000</v>
      </c>
      <c r="M31" s="18" t="s">
        <v>1130</v>
      </c>
      <c r="N31" s="16" t="s">
        <v>1079</v>
      </c>
      <c r="O31" s="18" t="s">
        <v>1092</v>
      </c>
      <c r="P31" s="18" t="s">
        <v>1127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1082</v>
      </c>
      <c r="K32" s="18">
        <v>9727771</v>
      </c>
      <c r="L32" s="18" t="s">
        <v>1092</v>
      </c>
      <c r="M32" s="18" t="s">
        <v>1092</v>
      </c>
      <c r="N32" s="16" t="s">
        <v>1092</v>
      </c>
      <c r="O32" s="18" t="s">
        <v>1092</v>
      </c>
      <c r="P32" s="18" t="s">
        <v>1092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>
      <c r="A33" s="16">
        <v>46027</v>
      </c>
      <c r="B33" s="16">
        <v>46031</v>
      </c>
      <c r="C33" s="21" t="s">
        <v>1131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1132</v>
      </c>
      <c r="G33" s="22">
        <v>26528.400000000001</v>
      </c>
      <c r="H33" s="22"/>
      <c r="I33" s="22">
        <f t="shared" si="0"/>
        <v>26528.400000000001</v>
      </c>
      <c r="J33" s="18" t="s">
        <v>1120</v>
      </c>
      <c r="K33" s="18">
        <v>5018703</v>
      </c>
      <c r="L33" s="18">
        <v>834467</v>
      </c>
      <c r="M33" s="18" t="s">
        <v>1133</v>
      </c>
      <c r="N33" s="16" t="s">
        <v>1079</v>
      </c>
      <c r="O33" s="18" t="s">
        <v>1092</v>
      </c>
      <c r="P33" s="18" t="s">
        <v>1079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>
      <c r="A34" s="16">
        <v>46027</v>
      </c>
      <c r="B34" s="16">
        <v>46031</v>
      </c>
      <c r="C34" s="21" t="s">
        <v>1134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1135</v>
      </c>
      <c r="G34" s="22">
        <v>2000.01</v>
      </c>
      <c r="H34" s="22"/>
      <c r="I34" s="22">
        <f t="shared" si="0"/>
        <v>2000.01</v>
      </c>
      <c r="J34" s="18" t="s">
        <v>1120</v>
      </c>
      <c r="K34" s="18" t="s">
        <v>1136</v>
      </c>
      <c r="L34" s="18">
        <v>834467</v>
      </c>
      <c r="M34" s="18" t="s">
        <v>1133</v>
      </c>
      <c r="N34" s="16" t="s">
        <v>1079</v>
      </c>
      <c r="O34" s="18" t="s">
        <v>1092</v>
      </c>
      <c r="P34" s="18" t="s">
        <v>1079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>
      <c r="A35" s="16">
        <v>46027</v>
      </c>
      <c r="B35" s="16">
        <v>46031</v>
      </c>
      <c r="C35" s="21" t="s">
        <v>1131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1137</v>
      </c>
      <c r="G35" s="22">
        <v>1909</v>
      </c>
      <c r="H35" s="22"/>
      <c r="I35" s="22">
        <f t="shared" ref="I35:I62" si="1">G35+H35</f>
        <v>1909</v>
      </c>
      <c r="J35" s="18" t="s">
        <v>1120</v>
      </c>
      <c r="K35" s="18">
        <v>5018702</v>
      </c>
      <c r="L35" s="18">
        <v>834467</v>
      </c>
      <c r="M35" s="18" t="s">
        <v>1133</v>
      </c>
      <c r="N35" s="16" t="s">
        <v>1079</v>
      </c>
      <c r="O35" s="18" t="s">
        <v>1092</v>
      </c>
      <c r="P35" s="18" t="s">
        <v>1079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1120</v>
      </c>
      <c r="K36" s="18">
        <v>9728500</v>
      </c>
      <c r="L36" s="18">
        <v>834055</v>
      </c>
      <c r="M36" s="18" t="s">
        <v>1138</v>
      </c>
      <c r="N36" s="16" t="s">
        <v>1079</v>
      </c>
      <c r="O36" s="18" t="s">
        <v>1092</v>
      </c>
      <c r="P36" s="18" t="s">
        <v>1098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1120</v>
      </c>
      <c r="K37" s="18">
        <v>9728483</v>
      </c>
      <c r="L37" s="18">
        <v>834267</v>
      </c>
      <c r="M37" s="18" t="s">
        <v>1139</v>
      </c>
      <c r="N37" s="16" t="s">
        <v>1079</v>
      </c>
      <c r="O37" s="18" t="s">
        <v>1092</v>
      </c>
      <c r="P37" s="18" t="s">
        <v>1098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1120</v>
      </c>
      <c r="K38" s="18">
        <v>9728438</v>
      </c>
      <c r="L38" s="18">
        <v>834321</v>
      </c>
      <c r="M38" s="18" t="s">
        <v>1140</v>
      </c>
      <c r="N38" s="16" t="s">
        <v>1079</v>
      </c>
      <c r="O38" s="18" t="s">
        <v>1092</v>
      </c>
      <c r="P38" s="18" t="s">
        <v>1098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1120</v>
      </c>
      <c r="K39" s="18">
        <v>9728481</v>
      </c>
      <c r="L39" s="18">
        <v>834297</v>
      </c>
      <c r="M39" s="18" t="s">
        <v>1141</v>
      </c>
      <c r="N39" s="16" t="s">
        <v>1079</v>
      </c>
      <c r="O39" s="18" t="s">
        <v>1092</v>
      </c>
      <c r="P39" s="18" t="s">
        <v>1098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1120</v>
      </c>
      <c r="K40" s="18">
        <v>9728485</v>
      </c>
      <c r="L40" s="18">
        <v>834246</v>
      </c>
      <c r="M40" s="18" t="s">
        <v>1142</v>
      </c>
      <c r="N40" s="16" t="s">
        <v>1079</v>
      </c>
      <c r="O40" s="18" t="s">
        <v>1092</v>
      </c>
      <c r="P40" s="18" t="s">
        <v>1098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1120</v>
      </c>
      <c r="K41" s="18">
        <v>9728532</v>
      </c>
      <c r="L41" s="18">
        <v>833934</v>
      </c>
      <c r="M41" s="18" t="s">
        <v>1143</v>
      </c>
      <c r="N41" s="16" t="s">
        <v>1079</v>
      </c>
      <c r="O41" s="18" t="s">
        <v>1092</v>
      </c>
      <c r="P41" s="18" t="s">
        <v>1098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>
      <c r="A42" s="16">
        <v>46027</v>
      </c>
      <c r="B42" s="16">
        <v>46031</v>
      </c>
      <c r="C42" s="21" t="s">
        <v>1144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1120</v>
      </c>
      <c r="K42" s="18" t="s">
        <v>1145</v>
      </c>
      <c r="L42" s="18">
        <v>833961</v>
      </c>
      <c r="M42" s="18" t="s">
        <v>1146</v>
      </c>
      <c r="N42" s="16" t="s">
        <v>1079</v>
      </c>
      <c r="O42" s="18" t="s">
        <v>1092</v>
      </c>
      <c r="P42" s="18" t="s">
        <v>1098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1120</v>
      </c>
      <c r="K43" s="18">
        <v>9728489</v>
      </c>
      <c r="L43" s="18">
        <v>834229</v>
      </c>
      <c r="M43" s="18" t="s">
        <v>1147</v>
      </c>
      <c r="N43" s="16" t="s">
        <v>1079</v>
      </c>
      <c r="O43" s="18" t="s">
        <v>1092</v>
      </c>
      <c r="P43" s="18" t="s">
        <v>1098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1120</v>
      </c>
      <c r="K44" s="18">
        <v>9728496</v>
      </c>
      <c r="L44" s="18">
        <v>834214</v>
      </c>
      <c r="M44" s="18" t="s">
        <v>1148</v>
      </c>
      <c r="N44" s="16" t="s">
        <v>1079</v>
      </c>
      <c r="O44" s="18" t="s">
        <v>1092</v>
      </c>
      <c r="P44" s="18" t="s">
        <v>1098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1149</v>
      </c>
      <c r="K45" s="18">
        <v>5018691</v>
      </c>
      <c r="L45" s="18" t="s">
        <v>1092</v>
      </c>
      <c r="M45" s="18" t="s">
        <v>1092</v>
      </c>
      <c r="N45" s="16" t="s">
        <v>1092</v>
      </c>
      <c r="O45" s="18" t="s">
        <v>1092</v>
      </c>
      <c r="P45" s="18" t="s">
        <v>1092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1094</v>
      </c>
      <c r="K46" s="18">
        <v>9728700</v>
      </c>
      <c r="L46" s="18">
        <v>834870</v>
      </c>
      <c r="M46" s="18" t="s">
        <v>1150</v>
      </c>
      <c r="N46" s="16" t="s">
        <v>1079</v>
      </c>
      <c r="O46" s="18" t="s">
        <v>1092</v>
      </c>
      <c r="P46" s="18" t="s">
        <v>1151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>
      <c r="A47" s="16">
        <v>46027</v>
      </c>
      <c r="B47" s="16">
        <v>46029</v>
      </c>
      <c r="C47" s="21" t="s">
        <v>1152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1094</v>
      </c>
      <c r="K47" s="18" t="s">
        <v>1153</v>
      </c>
      <c r="L47" s="18">
        <v>833007</v>
      </c>
      <c r="M47" s="18" t="s">
        <v>1154</v>
      </c>
      <c r="N47" s="16" t="s">
        <v>1079</v>
      </c>
      <c r="O47" s="18" t="s">
        <v>1092</v>
      </c>
      <c r="P47" s="18" t="s">
        <v>1155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1110</v>
      </c>
      <c r="K48" s="18">
        <v>9728419</v>
      </c>
      <c r="L48" s="18">
        <v>834372</v>
      </c>
      <c r="M48" s="18" t="s">
        <v>1156</v>
      </c>
      <c r="N48" s="16" t="s">
        <v>1079</v>
      </c>
      <c r="O48" s="18" t="s">
        <v>1092</v>
      </c>
      <c r="P48" s="18" t="s">
        <v>1157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1110</v>
      </c>
      <c r="K49" s="18">
        <v>9728428</v>
      </c>
      <c r="L49" s="18">
        <v>834372</v>
      </c>
      <c r="M49" s="18" t="s">
        <v>1156</v>
      </c>
      <c r="N49" s="16" t="s">
        <v>1079</v>
      </c>
      <c r="O49" s="18" t="s">
        <v>1092</v>
      </c>
      <c r="P49" s="18" t="s">
        <v>1157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1110</v>
      </c>
      <c r="K50" s="18">
        <v>9728422</v>
      </c>
      <c r="L50" s="18">
        <v>834372</v>
      </c>
      <c r="M50" s="18" t="s">
        <v>1156</v>
      </c>
      <c r="N50" s="16" t="s">
        <v>1079</v>
      </c>
      <c r="O50" s="18" t="s">
        <v>1092</v>
      </c>
      <c r="P50" s="18" t="s">
        <v>1157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1110</v>
      </c>
      <c r="K51" s="18">
        <v>9728432</v>
      </c>
      <c r="L51" s="18">
        <v>834372</v>
      </c>
      <c r="M51" s="18" t="s">
        <v>1156</v>
      </c>
      <c r="N51" s="16" t="s">
        <v>1079</v>
      </c>
      <c r="O51" s="18" t="s">
        <v>1092</v>
      </c>
      <c r="P51" s="18" t="s">
        <v>1157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1110</v>
      </c>
      <c r="K52" s="18">
        <v>9728418</v>
      </c>
      <c r="L52" s="18">
        <v>834372</v>
      </c>
      <c r="M52" s="18" t="s">
        <v>1156</v>
      </c>
      <c r="N52" s="16" t="s">
        <v>1079</v>
      </c>
      <c r="O52" s="18" t="s">
        <v>1092</v>
      </c>
      <c r="P52" s="18" t="s">
        <v>1157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1110</v>
      </c>
      <c r="K53" s="18">
        <v>9728430</v>
      </c>
      <c r="L53" s="18">
        <v>834372</v>
      </c>
      <c r="M53" s="18" t="s">
        <v>1156</v>
      </c>
      <c r="N53" s="16" t="s">
        <v>1079</v>
      </c>
      <c r="O53" s="18" t="s">
        <v>1092</v>
      </c>
      <c r="P53" s="18" t="s">
        <v>1157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1077</v>
      </c>
      <c r="K54" s="18">
        <v>972776</v>
      </c>
      <c r="L54" s="18">
        <v>833055</v>
      </c>
      <c r="M54" s="18" t="s">
        <v>1158</v>
      </c>
      <c r="N54" s="16" t="s">
        <v>1079</v>
      </c>
      <c r="O54" s="18" t="s">
        <v>1092</v>
      </c>
      <c r="P54" s="18" t="s">
        <v>1159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1110</v>
      </c>
      <c r="K55" s="18">
        <v>9728643</v>
      </c>
      <c r="L55" s="18">
        <v>833274</v>
      </c>
      <c r="M55" s="18" t="s">
        <v>1160</v>
      </c>
      <c r="N55" s="16" t="s">
        <v>1079</v>
      </c>
      <c r="O55" s="18" t="s">
        <v>1092</v>
      </c>
      <c r="P55" s="18" t="s">
        <v>1161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>
      <c r="A56" s="16">
        <v>46027</v>
      </c>
      <c r="B56" s="16">
        <v>46029</v>
      </c>
      <c r="C56" s="21" t="s">
        <v>1162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1110</v>
      </c>
      <c r="K56" s="18">
        <v>5018702</v>
      </c>
      <c r="L56" s="18">
        <v>833274</v>
      </c>
      <c r="M56" s="18" t="s">
        <v>1160</v>
      </c>
      <c r="N56" s="16" t="s">
        <v>1079</v>
      </c>
      <c r="O56" s="18" t="s">
        <v>1092</v>
      </c>
      <c r="P56" s="18" t="s">
        <v>1161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>
      <c r="A57" s="16">
        <v>46027</v>
      </c>
      <c r="B57" s="16">
        <v>46029</v>
      </c>
      <c r="C57" s="21" t="s">
        <v>1163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1110</v>
      </c>
      <c r="K57" s="18" t="s">
        <v>1164</v>
      </c>
      <c r="L57" s="18">
        <v>833274</v>
      </c>
      <c r="M57" s="18" t="s">
        <v>1160</v>
      </c>
      <c r="N57" s="16" t="s">
        <v>1079</v>
      </c>
      <c r="O57" s="18" t="s">
        <v>1092</v>
      </c>
      <c r="P57" s="18" t="s">
        <v>1161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>
      <c r="A58" s="16">
        <v>46027</v>
      </c>
      <c r="B58" s="16">
        <v>46029</v>
      </c>
      <c r="C58" s="21" t="s">
        <v>1165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1110</v>
      </c>
      <c r="K58" s="18" t="s">
        <v>1166</v>
      </c>
      <c r="L58" s="18">
        <v>833274</v>
      </c>
      <c r="M58" s="18" t="s">
        <v>1160</v>
      </c>
      <c r="N58" s="16" t="s">
        <v>1079</v>
      </c>
      <c r="O58" s="18" t="s">
        <v>1092</v>
      </c>
      <c r="P58" s="18" t="s">
        <v>1161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>
      <c r="A59" s="16">
        <v>46027</v>
      </c>
      <c r="B59" s="16">
        <v>46029</v>
      </c>
      <c r="C59" s="21" t="s">
        <v>1167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1110</v>
      </c>
      <c r="K59" s="18" t="s">
        <v>1168</v>
      </c>
      <c r="L59" s="18">
        <v>833274</v>
      </c>
      <c r="M59" s="18" t="s">
        <v>1160</v>
      </c>
      <c r="N59" s="16" t="s">
        <v>1079</v>
      </c>
      <c r="O59" s="18" t="s">
        <v>1092</v>
      </c>
      <c r="P59" s="18" t="s">
        <v>1161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1110</v>
      </c>
      <c r="K60" s="18">
        <v>9728650</v>
      </c>
      <c r="L60" s="18">
        <v>833274</v>
      </c>
      <c r="M60" s="18" t="s">
        <v>1160</v>
      </c>
      <c r="N60" s="16" t="s">
        <v>1079</v>
      </c>
      <c r="O60" s="18" t="s">
        <v>1092</v>
      </c>
      <c r="P60" s="18" t="s">
        <v>1161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1110</v>
      </c>
      <c r="K61" s="18">
        <v>9728644</v>
      </c>
      <c r="L61" s="18">
        <v>833274</v>
      </c>
      <c r="M61" s="18" t="s">
        <v>1160</v>
      </c>
      <c r="N61" s="16" t="s">
        <v>1079</v>
      </c>
      <c r="O61" s="18" t="s">
        <v>1092</v>
      </c>
      <c r="P61" s="18" t="s">
        <v>1161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1110</v>
      </c>
      <c r="K62" s="18">
        <v>9728647</v>
      </c>
      <c r="L62" s="18">
        <v>833274</v>
      </c>
      <c r="M62" s="18" t="s">
        <v>1160</v>
      </c>
      <c r="N62" s="16" t="s">
        <v>1079</v>
      </c>
      <c r="O62" s="18" t="s">
        <v>1092</v>
      </c>
      <c r="P62" s="18" t="s">
        <v>1161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>
      <c r="A63" s="16">
        <v>46027</v>
      </c>
      <c r="B63" s="16">
        <v>46029</v>
      </c>
      <c r="C63" s="21" t="s">
        <v>1169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1110</v>
      </c>
      <c r="K63" s="18" t="s">
        <v>1170</v>
      </c>
      <c r="L63" s="18">
        <v>833274</v>
      </c>
      <c r="M63" s="18" t="s">
        <v>1160</v>
      </c>
      <c r="N63" s="16" t="s">
        <v>1079</v>
      </c>
      <c r="O63" s="18" t="s">
        <v>1092</v>
      </c>
      <c r="P63" s="18" t="s">
        <v>1161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>
      <c r="A64" s="16">
        <v>46029</v>
      </c>
      <c r="B64" s="16">
        <v>46035</v>
      </c>
      <c r="C64" s="21" t="s">
        <v>1171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1077</v>
      </c>
      <c r="K64" s="18" t="s">
        <v>1131</v>
      </c>
      <c r="L64" s="18" t="s">
        <v>1172</v>
      </c>
      <c r="M64" s="18" t="s">
        <v>1173</v>
      </c>
      <c r="N64" s="16">
        <v>46014</v>
      </c>
      <c r="O64" s="18" t="s">
        <v>1092</v>
      </c>
      <c r="P64" s="18" t="s">
        <v>1174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1077</v>
      </c>
      <c r="K65" s="18">
        <v>9735087</v>
      </c>
      <c r="L65" s="18">
        <v>839782</v>
      </c>
      <c r="M65" s="18" t="s">
        <v>1175</v>
      </c>
      <c r="N65" s="16" t="s">
        <v>1176</v>
      </c>
      <c r="O65" s="18" t="s">
        <v>1092</v>
      </c>
      <c r="P65" s="18" t="s">
        <v>1177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1178</v>
      </c>
      <c r="G66" s="22">
        <v>5250</v>
      </c>
      <c r="H66" s="22"/>
      <c r="I66" s="22">
        <f t="shared" si="2"/>
        <v>5250</v>
      </c>
      <c r="J66" s="18" t="s">
        <v>1077</v>
      </c>
      <c r="K66" s="18">
        <v>9734852</v>
      </c>
      <c r="L66" s="18">
        <v>838731</v>
      </c>
      <c r="M66" s="18" t="s">
        <v>1179</v>
      </c>
      <c r="N66" s="16" t="s">
        <v>1115</v>
      </c>
      <c r="O66" s="18" t="s">
        <v>1092</v>
      </c>
      <c r="P66" s="18" t="s">
        <v>1115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1180</v>
      </c>
      <c r="G67" s="22">
        <v>3825</v>
      </c>
      <c r="H67" s="22"/>
      <c r="I67" s="22">
        <f t="shared" si="2"/>
        <v>3825</v>
      </c>
      <c r="J67" s="18" t="s">
        <v>1077</v>
      </c>
      <c r="K67" s="18">
        <v>9734899</v>
      </c>
      <c r="L67" s="18">
        <v>838731</v>
      </c>
      <c r="M67" s="18" t="s">
        <v>1179</v>
      </c>
      <c r="N67" s="16" t="s">
        <v>1115</v>
      </c>
      <c r="O67" s="18" t="s">
        <v>1092</v>
      </c>
      <c r="P67" s="18" t="s">
        <v>1115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1181</v>
      </c>
      <c r="G68" s="22">
        <v>3690</v>
      </c>
      <c r="H68" s="22"/>
      <c r="I68" s="22">
        <f t="shared" si="2"/>
        <v>3690</v>
      </c>
      <c r="J68" s="18" t="s">
        <v>1077</v>
      </c>
      <c r="K68" s="18">
        <v>9734888</v>
      </c>
      <c r="L68" s="18">
        <v>838731</v>
      </c>
      <c r="M68" s="18" t="s">
        <v>1179</v>
      </c>
      <c r="N68" s="16" t="s">
        <v>1115</v>
      </c>
      <c r="O68" s="18" t="s">
        <v>1092</v>
      </c>
      <c r="P68" s="18" t="s">
        <v>1115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1182</v>
      </c>
      <c r="G69" s="22">
        <v>3465</v>
      </c>
      <c r="H69" s="22"/>
      <c r="I69" s="22">
        <f t="shared" si="2"/>
        <v>3465</v>
      </c>
      <c r="J69" s="18" t="s">
        <v>1077</v>
      </c>
      <c r="K69" s="18">
        <v>9734841</v>
      </c>
      <c r="L69" s="18">
        <v>838731</v>
      </c>
      <c r="M69" s="18" t="s">
        <v>1179</v>
      </c>
      <c r="N69" s="16" t="s">
        <v>1115</v>
      </c>
      <c r="O69" s="18" t="s">
        <v>1092</v>
      </c>
      <c r="P69" s="18" t="s">
        <v>1115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1183</v>
      </c>
      <c r="G70" s="22">
        <v>2475</v>
      </c>
      <c r="H70" s="22"/>
      <c r="I70" s="22">
        <f t="shared" si="2"/>
        <v>2475</v>
      </c>
      <c r="J70" s="18" t="s">
        <v>1077</v>
      </c>
      <c r="K70" s="18">
        <v>9734891</v>
      </c>
      <c r="L70" s="18">
        <v>838731</v>
      </c>
      <c r="M70" s="18" t="s">
        <v>1179</v>
      </c>
      <c r="N70" s="16" t="s">
        <v>1115</v>
      </c>
      <c r="O70" s="18" t="s">
        <v>1092</v>
      </c>
      <c r="P70" s="18" t="s">
        <v>1115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1184</v>
      </c>
      <c r="G71" s="22">
        <v>1845</v>
      </c>
      <c r="H71" s="22"/>
      <c r="I71" s="22">
        <f t="shared" si="2"/>
        <v>1845</v>
      </c>
      <c r="J71" s="18" t="s">
        <v>1077</v>
      </c>
      <c r="K71" s="18">
        <v>9734883</v>
      </c>
      <c r="L71" s="18">
        <v>838731</v>
      </c>
      <c r="M71" s="18" t="s">
        <v>1179</v>
      </c>
      <c r="N71" s="16" t="s">
        <v>1115</v>
      </c>
      <c r="O71" s="18" t="s">
        <v>1092</v>
      </c>
      <c r="P71" s="18" t="s">
        <v>1115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1185</v>
      </c>
      <c r="G72" s="22">
        <v>1575</v>
      </c>
      <c r="H72" s="22"/>
      <c r="I72" s="22">
        <f t="shared" si="2"/>
        <v>1575</v>
      </c>
      <c r="J72" s="18" t="s">
        <v>1077</v>
      </c>
      <c r="K72" s="18">
        <v>9734857</v>
      </c>
      <c r="L72" s="18">
        <v>838731</v>
      </c>
      <c r="M72" s="18" t="s">
        <v>1179</v>
      </c>
      <c r="N72" s="16" t="s">
        <v>1115</v>
      </c>
      <c r="O72" s="18" t="s">
        <v>1092</v>
      </c>
      <c r="P72" s="18" t="s">
        <v>1115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1186</v>
      </c>
      <c r="G73" s="22">
        <v>1575</v>
      </c>
      <c r="H73" s="22"/>
      <c r="I73" s="22">
        <f t="shared" si="2"/>
        <v>1575</v>
      </c>
      <c r="J73" s="18" t="s">
        <v>1077</v>
      </c>
      <c r="K73" s="18">
        <v>9734887</v>
      </c>
      <c r="L73" s="18">
        <v>838731</v>
      </c>
      <c r="M73" s="18" t="s">
        <v>1179</v>
      </c>
      <c r="N73" s="16" t="s">
        <v>1115</v>
      </c>
      <c r="O73" s="18" t="s">
        <v>1092</v>
      </c>
      <c r="P73" s="18" t="s">
        <v>1115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1187</v>
      </c>
      <c r="G74" s="22">
        <v>1125</v>
      </c>
      <c r="H74" s="22"/>
      <c r="I74" s="22">
        <f t="shared" si="2"/>
        <v>1125</v>
      </c>
      <c r="J74" s="18" t="s">
        <v>1077</v>
      </c>
      <c r="K74" s="18">
        <v>9734844</v>
      </c>
      <c r="L74" s="18">
        <v>838731</v>
      </c>
      <c r="M74" s="18" t="s">
        <v>1179</v>
      </c>
      <c r="N74" s="16" t="s">
        <v>1115</v>
      </c>
      <c r="O74" s="18" t="s">
        <v>1092</v>
      </c>
      <c r="P74" s="18" t="s">
        <v>1115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1188</v>
      </c>
      <c r="G75" s="22">
        <v>1125</v>
      </c>
      <c r="H75" s="22"/>
      <c r="I75" s="22">
        <f t="shared" si="2"/>
        <v>1125</v>
      </c>
      <c r="J75" s="18" t="s">
        <v>1077</v>
      </c>
      <c r="K75" s="18">
        <v>9734854</v>
      </c>
      <c r="L75" s="18">
        <v>838731</v>
      </c>
      <c r="M75" s="18" t="s">
        <v>1179</v>
      </c>
      <c r="N75" s="16" t="s">
        <v>1115</v>
      </c>
      <c r="O75" s="18" t="s">
        <v>1092</v>
      </c>
      <c r="P75" s="18" t="s">
        <v>1115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1189</v>
      </c>
      <c r="G76" s="22">
        <v>1125</v>
      </c>
      <c r="H76" s="22"/>
      <c r="I76" s="22">
        <f t="shared" si="2"/>
        <v>1125</v>
      </c>
      <c r="J76" s="18" t="s">
        <v>1077</v>
      </c>
      <c r="K76" s="18">
        <v>9734892</v>
      </c>
      <c r="L76" s="18">
        <v>838731</v>
      </c>
      <c r="M76" s="18" t="s">
        <v>1179</v>
      </c>
      <c r="N76" s="16" t="s">
        <v>1115</v>
      </c>
      <c r="O76" s="18" t="s">
        <v>1092</v>
      </c>
      <c r="P76" s="18" t="s">
        <v>1115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1190</v>
      </c>
      <c r="G77" s="22">
        <v>800</v>
      </c>
      <c r="H77" s="22"/>
      <c r="I77" s="22">
        <f t="shared" si="2"/>
        <v>800</v>
      </c>
      <c r="J77" s="18" t="s">
        <v>1077</v>
      </c>
      <c r="K77" s="18">
        <v>9734882</v>
      </c>
      <c r="L77" s="18">
        <v>838731</v>
      </c>
      <c r="M77" s="18" t="s">
        <v>1179</v>
      </c>
      <c r="N77" s="16" t="s">
        <v>1115</v>
      </c>
      <c r="O77" s="18" t="s">
        <v>1092</v>
      </c>
      <c r="P77" s="18" t="s">
        <v>1115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1191</v>
      </c>
      <c r="G78" s="22">
        <v>800</v>
      </c>
      <c r="H78" s="22"/>
      <c r="I78" s="22">
        <f t="shared" si="2"/>
        <v>800</v>
      </c>
      <c r="J78" s="18" t="s">
        <v>1077</v>
      </c>
      <c r="K78" s="18">
        <v>9734889</v>
      </c>
      <c r="L78" s="18">
        <v>838731</v>
      </c>
      <c r="M78" s="18" t="s">
        <v>1179</v>
      </c>
      <c r="N78" s="16" t="s">
        <v>1115</v>
      </c>
      <c r="O78" s="18" t="s">
        <v>1092</v>
      </c>
      <c r="P78" s="18" t="s">
        <v>1115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1192</v>
      </c>
      <c r="G79" s="22">
        <v>800</v>
      </c>
      <c r="H79" s="22"/>
      <c r="I79" s="22">
        <f t="shared" si="2"/>
        <v>800</v>
      </c>
      <c r="J79" s="18" t="s">
        <v>1077</v>
      </c>
      <c r="K79" s="18">
        <v>9734890</v>
      </c>
      <c r="L79" s="18">
        <v>838731</v>
      </c>
      <c r="M79" s="18" t="s">
        <v>1179</v>
      </c>
      <c r="N79" s="16" t="s">
        <v>1115</v>
      </c>
      <c r="O79" s="18" t="s">
        <v>1092</v>
      </c>
      <c r="P79" s="18" t="s">
        <v>1115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1193</v>
      </c>
      <c r="G80" s="22">
        <v>400</v>
      </c>
      <c r="H80" s="22"/>
      <c r="I80" s="22">
        <f t="shared" si="2"/>
        <v>400</v>
      </c>
      <c r="J80" s="18" t="s">
        <v>1077</v>
      </c>
      <c r="K80" s="18">
        <v>9734880</v>
      </c>
      <c r="L80" s="18">
        <v>838731</v>
      </c>
      <c r="M80" s="18" t="s">
        <v>1179</v>
      </c>
      <c r="N80" s="16" t="s">
        <v>1115</v>
      </c>
      <c r="O80" s="18" t="s">
        <v>1092</v>
      </c>
      <c r="P80" s="18" t="s">
        <v>1115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1194</v>
      </c>
      <c r="G81" s="22">
        <v>370</v>
      </c>
      <c r="H81" s="22"/>
      <c r="I81" s="22">
        <f t="shared" si="2"/>
        <v>370</v>
      </c>
      <c r="J81" s="18" t="s">
        <v>1077</v>
      </c>
      <c r="K81" s="18">
        <v>9735032</v>
      </c>
      <c r="L81" s="18">
        <v>840385</v>
      </c>
      <c r="M81" s="18" t="s">
        <v>1195</v>
      </c>
      <c r="N81" s="16" t="s">
        <v>1115</v>
      </c>
      <c r="O81" s="18" t="s">
        <v>1092</v>
      </c>
      <c r="P81" s="18" t="s">
        <v>1176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1094</v>
      </c>
      <c r="K82" s="18">
        <v>5018842</v>
      </c>
      <c r="L82" s="18" t="s">
        <v>1092</v>
      </c>
      <c r="M82" s="18" t="s">
        <v>1092</v>
      </c>
      <c r="N82" s="16" t="s">
        <v>1092</v>
      </c>
      <c r="O82" s="18" t="s">
        <v>1092</v>
      </c>
      <c r="P82" s="18" t="s">
        <v>1092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1196</v>
      </c>
      <c r="K83" s="18">
        <v>9734817</v>
      </c>
      <c r="L83" s="18">
        <v>838162</v>
      </c>
      <c r="M83" s="18" t="s">
        <v>1197</v>
      </c>
      <c r="N83" s="16" t="s">
        <v>1159</v>
      </c>
      <c r="O83" s="18" t="s">
        <v>1092</v>
      </c>
      <c r="P83" s="18" t="s">
        <v>1174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1196</v>
      </c>
      <c r="K84" s="18">
        <v>9734667</v>
      </c>
      <c r="L84" s="18">
        <v>838126</v>
      </c>
      <c r="M84" s="18" t="s">
        <v>1198</v>
      </c>
      <c r="N84" s="16" t="s">
        <v>1159</v>
      </c>
      <c r="O84" s="18" t="s">
        <v>1092</v>
      </c>
      <c r="P84" s="18" t="s">
        <v>1176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>
      <c r="A85" s="16">
        <v>46029</v>
      </c>
      <c r="B85" s="16">
        <v>46035</v>
      </c>
      <c r="C85" s="21" t="s">
        <v>1199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1077</v>
      </c>
      <c r="K85" s="18" t="s">
        <v>1200</v>
      </c>
      <c r="L85" s="18">
        <v>838090</v>
      </c>
      <c r="M85" s="18" t="s">
        <v>1201</v>
      </c>
      <c r="N85" s="16" t="s">
        <v>1159</v>
      </c>
      <c r="O85" s="18" t="s">
        <v>1092</v>
      </c>
      <c r="P85" s="18" t="s">
        <v>1115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1196</v>
      </c>
      <c r="K86" s="18">
        <v>5018841</v>
      </c>
      <c r="L86" s="18">
        <v>838126</v>
      </c>
      <c r="M86" s="18" t="s">
        <v>1198</v>
      </c>
      <c r="N86" s="16" t="s">
        <v>1159</v>
      </c>
      <c r="O86" s="18" t="s">
        <v>1092</v>
      </c>
      <c r="P86" s="18" t="s">
        <v>1176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1196</v>
      </c>
      <c r="K87" s="18">
        <v>5018840</v>
      </c>
      <c r="L87" s="18">
        <v>838126</v>
      </c>
      <c r="M87" s="18" t="s">
        <v>1198</v>
      </c>
      <c r="N87" s="16" t="s">
        <v>1159</v>
      </c>
      <c r="O87" s="18" t="s">
        <v>1092</v>
      </c>
      <c r="P87" s="18" t="s">
        <v>1176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1094</v>
      </c>
      <c r="K88" s="18">
        <v>9734739</v>
      </c>
      <c r="L88" s="18">
        <v>838169</v>
      </c>
      <c r="M88" s="18" t="s">
        <v>1202</v>
      </c>
      <c r="N88" s="16" t="s">
        <v>1115</v>
      </c>
      <c r="O88" s="18" t="s">
        <v>1092</v>
      </c>
      <c r="P88" s="18" t="s">
        <v>1176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1094</v>
      </c>
      <c r="K89" s="18">
        <v>9734764</v>
      </c>
      <c r="L89" s="18">
        <v>838169</v>
      </c>
      <c r="M89" s="18" t="s">
        <v>1202</v>
      </c>
      <c r="N89" s="16" t="s">
        <v>1115</v>
      </c>
      <c r="O89" s="18" t="s">
        <v>1092</v>
      </c>
      <c r="P89" s="18" t="s">
        <v>1176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1094</v>
      </c>
      <c r="K90" s="18">
        <v>9734769</v>
      </c>
      <c r="L90" s="18">
        <v>838169</v>
      </c>
      <c r="M90" s="18" t="s">
        <v>1202</v>
      </c>
      <c r="N90" s="16" t="s">
        <v>1115</v>
      </c>
      <c r="O90" s="18" t="s">
        <v>1092</v>
      </c>
      <c r="P90" s="18" t="s">
        <v>1176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>
      <c r="A91" s="16">
        <v>46029</v>
      </c>
      <c r="B91" s="16">
        <v>46035</v>
      </c>
      <c r="C91" s="21" t="s">
        <v>1203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1094</v>
      </c>
      <c r="K91" s="18" t="s">
        <v>1204</v>
      </c>
      <c r="L91" s="18">
        <v>838169</v>
      </c>
      <c r="M91" s="18" t="s">
        <v>1202</v>
      </c>
      <c r="N91" s="16" t="s">
        <v>1115</v>
      </c>
      <c r="O91" s="18" t="s">
        <v>1092</v>
      </c>
      <c r="P91" s="18" t="s">
        <v>1176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1094</v>
      </c>
      <c r="K92" s="18">
        <v>9734796</v>
      </c>
      <c r="L92" s="18">
        <v>838257</v>
      </c>
      <c r="M92" s="18" t="s">
        <v>1205</v>
      </c>
      <c r="N92" s="16" t="s">
        <v>1115</v>
      </c>
      <c r="O92" s="18" t="s">
        <v>1092</v>
      </c>
      <c r="P92" s="18" t="s">
        <v>1176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1094</v>
      </c>
      <c r="K93" s="18">
        <v>9734793</v>
      </c>
      <c r="L93" s="18">
        <v>838257</v>
      </c>
      <c r="M93" s="18" t="s">
        <v>1205</v>
      </c>
      <c r="N93" s="16" t="s">
        <v>1115</v>
      </c>
      <c r="O93" s="18" t="s">
        <v>1092</v>
      </c>
      <c r="P93" s="18" t="s">
        <v>1176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1094</v>
      </c>
      <c r="K94" s="18">
        <v>9734788</v>
      </c>
      <c r="L94" s="18">
        <v>838169</v>
      </c>
      <c r="M94" s="18" t="s">
        <v>1202</v>
      </c>
      <c r="N94" s="16" t="s">
        <v>1115</v>
      </c>
      <c r="O94" s="18" t="s">
        <v>1092</v>
      </c>
      <c r="P94" s="18" t="s">
        <v>1176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>
      <c r="A95" s="16">
        <v>46029</v>
      </c>
      <c r="B95" s="16">
        <v>46035</v>
      </c>
      <c r="C95" s="21" t="s">
        <v>1206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1094</v>
      </c>
      <c r="K95" s="18">
        <v>9734772</v>
      </c>
      <c r="L95" s="18">
        <v>838169</v>
      </c>
      <c r="M95" s="18" t="s">
        <v>1202</v>
      </c>
      <c r="N95" s="16" t="s">
        <v>1115</v>
      </c>
      <c r="O95" s="18" t="s">
        <v>1092</v>
      </c>
      <c r="P95" s="18" t="s">
        <v>1176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1094</v>
      </c>
      <c r="K96" s="18">
        <v>9734797</v>
      </c>
      <c r="L96" s="18">
        <v>838257</v>
      </c>
      <c r="M96" s="18" t="s">
        <v>1205</v>
      </c>
      <c r="N96" s="16" t="s">
        <v>1115</v>
      </c>
      <c r="O96" s="18" t="s">
        <v>1092</v>
      </c>
      <c r="P96" s="18" t="s">
        <v>1176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1094</v>
      </c>
      <c r="K97" s="18">
        <v>9734799</v>
      </c>
      <c r="L97" s="18">
        <v>838257</v>
      </c>
      <c r="M97" s="18" t="s">
        <v>1205</v>
      </c>
      <c r="N97" s="16" t="s">
        <v>1115</v>
      </c>
      <c r="O97" s="18" t="s">
        <v>1092</v>
      </c>
      <c r="P97" s="18" t="s">
        <v>1176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1120</v>
      </c>
      <c r="K98" s="18">
        <v>9735122</v>
      </c>
      <c r="L98" s="18">
        <v>839798</v>
      </c>
      <c r="M98" s="18" t="s">
        <v>1207</v>
      </c>
      <c r="N98" s="16" t="s">
        <v>1115</v>
      </c>
      <c r="O98" s="18" t="s">
        <v>1092</v>
      </c>
      <c r="P98" s="18" t="s">
        <v>1208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1120</v>
      </c>
      <c r="K99" s="18">
        <v>9735125</v>
      </c>
      <c r="L99" s="18">
        <v>840362</v>
      </c>
      <c r="M99" s="18" t="s">
        <v>1209</v>
      </c>
      <c r="N99" s="16" t="s">
        <v>1176</v>
      </c>
      <c r="O99" s="18" t="s">
        <v>1092</v>
      </c>
      <c r="P99" s="18" t="s">
        <v>1174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1120</v>
      </c>
      <c r="K100" s="18">
        <v>9734903</v>
      </c>
      <c r="L100" s="18">
        <v>839167</v>
      </c>
      <c r="M100" s="18" t="s">
        <v>1210</v>
      </c>
      <c r="N100" s="16" t="s">
        <v>1159</v>
      </c>
      <c r="O100" s="18" t="s">
        <v>1092</v>
      </c>
      <c r="P100" s="18" t="s">
        <v>1174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>
      <c r="A101" s="16">
        <v>46031</v>
      </c>
      <c r="B101" s="16">
        <v>46043</v>
      </c>
      <c r="C101" s="21" t="s">
        <v>1211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1082</v>
      </c>
      <c r="K101" s="18">
        <v>9735091</v>
      </c>
      <c r="L101" s="18">
        <v>845396</v>
      </c>
      <c r="M101" s="18" t="s">
        <v>1212</v>
      </c>
      <c r="N101" s="16" t="s">
        <v>1213</v>
      </c>
      <c r="O101" s="18" t="s">
        <v>1092</v>
      </c>
      <c r="P101" s="18" t="s">
        <v>1214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1196</v>
      </c>
      <c r="K102" s="18">
        <v>5018819</v>
      </c>
      <c r="L102" s="18">
        <v>840340</v>
      </c>
      <c r="M102" s="18" t="s">
        <v>1215</v>
      </c>
      <c r="N102" s="16" t="s">
        <v>1115</v>
      </c>
      <c r="O102" s="18" t="s">
        <v>1092</v>
      </c>
      <c r="P102" s="18" t="s">
        <v>1216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1196</v>
      </c>
      <c r="K103" s="18">
        <v>5018819</v>
      </c>
      <c r="L103" s="18">
        <v>840340</v>
      </c>
      <c r="M103" s="18" t="s">
        <v>1215</v>
      </c>
      <c r="N103" s="16" t="s">
        <v>1115</v>
      </c>
      <c r="O103" s="18" t="s">
        <v>1092</v>
      </c>
      <c r="P103" s="18" t="s">
        <v>1216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>
      <c r="A104" s="16">
        <v>46031</v>
      </c>
      <c r="B104" s="16">
        <v>46043</v>
      </c>
      <c r="C104" s="21" t="s">
        <v>1211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1082</v>
      </c>
      <c r="K104" s="18">
        <v>9735091</v>
      </c>
      <c r="L104" s="18">
        <v>845396</v>
      </c>
      <c r="M104" s="18" t="s">
        <v>1212</v>
      </c>
      <c r="N104" s="16" t="s">
        <v>1213</v>
      </c>
      <c r="O104" s="18" t="s">
        <v>1092</v>
      </c>
      <c r="P104" s="18" t="s">
        <v>1214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1120</v>
      </c>
      <c r="K105" s="18">
        <v>9742893</v>
      </c>
      <c r="L105" s="18">
        <v>840985</v>
      </c>
      <c r="M105" s="18" t="s">
        <v>1217</v>
      </c>
      <c r="N105" s="16" t="s">
        <v>1218</v>
      </c>
      <c r="O105" s="18" t="s">
        <v>1092</v>
      </c>
      <c r="P105" s="18" t="s">
        <v>1219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1120</v>
      </c>
      <c r="K106" s="18">
        <v>9739862</v>
      </c>
      <c r="L106" s="18">
        <v>806988</v>
      </c>
      <c r="M106" s="18" t="s">
        <v>1220</v>
      </c>
      <c r="N106" s="16" t="s">
        <v>1161</v>
      </c>
      <c r="O106" s="18" t="s">
        <v>1092</v>
      </c>
      <c r="P106" s="18" t="s">
        <v>1221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>
      <c r="A107" s="16">
        <v>46031</v>
      </c>
      <c r="B107" s="16">
        <v>46044</v>
      </c>
      <c r="C107" s="21" t="s">
        <v>1222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1120</v>
      </c>
      <c r="K107" s="18">
        <v>5018950</v>
      </c>
      <c r="L107" s="18">
        <v>845826</v>
      </c>
      <c r="M107" s="18" t="s">
        <v>1223</v>
      </c>
      <c r="N107" s="16" t="s">
        <v>1224</v>
      </c>
      <c r="O107" s="18" t="s">
        <v>1092</v>
      </c>
      <c r="P107" s="18" t="s">
        <v>1225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>
      <c r="A108" s="16">
        <v>46031</v>
      </c>
      <c r="B108" s="16">
        <v>46044</v>
      </c>
      <c r="C108" s="21" t="s">
        <v>1226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1120</v>
      </c>
      <c r="K108" s="18" t="s">
        <v>1227</v>
      </c>
      <c r="L108" s="18">
        <v>845776</v>
      </c>
      <c r="M108" s="18" t="s">
        <v>1228</v>
      </c>
      <c r="N108" s="16" t="s">
        <v>1224</v>
      </c>
      <c r="O108" s="18" t="s">
        <v>1092</v>
      </c>
      <c r="P108" s="18" t="s">
        <v>1225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>
      <c r="A109" s="16">
        <v>46031</v>
      </c>
      <c r="B109" s="16">
        <v>46044</v>
      </c>
      <c r="C109" s="21" t="s">
        <v>1229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1120</v>
      </c>
      <c r="K109" s="18" t="s">
        <v>1230</v>
      </c>
      <c r="L109" s="18">
        <v>845393</v>
      </c>
      <c r="M109" s="18" t="s">
        <v>1231</v>
      </c>
      <c r="N109" s="16" t="s">
        <v>1224</v>
      </c>
      <c r="O109" s="18" t="s">
        <v>1092</v>
      </c>
      <c r="P109" s="18" t="s">
        <v>1225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1120</v>
      </c>
      <c r="K110" s="18">
        <v>9743652</v>
      </c>
      <c r="L110" s="18">
        <v>841755</v>
      </c>
      <c r="M110" s="18" t="s">
        <v>1232</v>
      </c>
      <c r="N110" s="16" t="s">
        <v>1213</v>
      </c>
      <c r="O110" s="18" t="s">
        <v>1092</v>
      </c>
      <c r="P110" s="18" t="s">
        <v>1219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>
      <c r="A111" s="16">
        <v>46031</v>
      </c>
      <c r="B111" s="16">
        <v>46036</v>
      </c>
      <c r="C111" s="21" t="s">
        <v>1229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1120</v>
      </c>
      <c r="K111" s="18" t="s">
        <v>1233</v>
      </c>
      <c r="L111" s="18">
        <v>839415</v>
      </c>
      <c r="M111" s="18" t="s">
        <v>1234</v>
      </c>
      <c r="N111" s="16" t="s">
        <v>1115</v>
      </c>
      <c r="O111" s="18" t="s">
        <v>1092</v>
      </c>
      <c r="P111" s="18" t="s">
        <v>1221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1120</v>
      </c>
      <c r="K112" s="18">
        <v>9735129</v>
      </c>
      <c r="L112" s="18">
        <v>839325</v>
      </c>
      <c r="M112" s="18" t="s">
        <v>1235</v>
      </c>
      <c r="N112" s="16" t="s">
        <v>1176</v>
      </c>
      <c r="O112" s="18" t="s">
        <v>1092</v>
      </c>
      <c r="P112" s="18" t="s">
        <v>1221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>
      <c r="A113" s="16">
        <v>46031</v>
      </c>
      <c r="B113" s="16">
        <v>46044</v>
      </c>
      <c r="C113" s="21" t="s">
        <v>1222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1120</v>
      </c>
      <c r="K113" s="18" t="s">
        <v>1236</v>
      </c>
      <c r="L113" s="18">
        <v>845648</v>
      </c>
      <c r="M113" s="18" t="s">
        <v>1237</v>
      </c>
      <c r="N113" s="16" t="s">
        <v>1224</v>
      </c>
      <c r="O113" s="18" t="s">
        <v>1092</v>
      </c>
      <c r="P113" s="18" t="s">
        <v>1225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1120</v>
      </c>
      <c r="K114" s="18">
        <v>9743648</v>
      </c>
      <c r="L114" s="18">
        <v>841738</v>
      </c>
      <c r="M114" s="18" t="s">
        <v>1238</v>
      </c>
      <c r="N114" s="16" t="s">
        <v>1239</v>
      </c>
      <c r="O114" s="18" t="s">
        <v>1092</v>
      </c>
      <c r="P114" s="18" t="s">
        <v>1240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1120</v>
      </c>
      <c r="K115" s="18">
        <v>9735228</v>
      </c>
      <c r="L115" s="18">
        <v>840234</v>
      </c>
      <c r="M115" s="18" t="s">
        <v>1241</v>
      </c>
      <c r="N115" s="16" t="s">
        <v>1176</v>
      </c>
      <c r="O115" s="18" t="s">
        <v>1092</v>
      </c>
      <c r="P115" s="18" t="s">
        <v>1221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1120</v>
      </c>
      <c r="K116" s="18">
        <v>9735238</v>
      </c>
      <c r="L116" s="18">
        <v>840267</v>
      </c>
      <c r="M116" s="18" t="s">
        <v>1242</v>
      </c>
      <c r="N116" s="16" t="s">
        <v>1174</v>
      </c>
      <c r="O116" s="18" t="s">
        <v>1092</v>
      </c>
      <c r="P116" s="18" t="s">
        <v>1221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>
      <c r="A117" s="16">
        <v>46031</v>
      </c>
      <c r="B117" s="16">
        <v>46037</v>
      </c>
      <c r="C117" s="21" t="s">
        <v>1229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1120</v>
      </c>
      <c r="K117" s="18" t="s">
        <v>1243</v>
      </c>
      <c r="L117" s="18">
        <v>840161</v>
      </c>
      <c r="M117" s="18" t="s">
        <v>1244</v>
      </c>
      <c r="N117" s="16" t="s">
        <v>1176</v>
      </c>
      <c r="O117" s="18" t="s">
        <v>1092</v>
      </c>
      <c r="P117" s="18" t="s">
        <v>1213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1120</v>
      </c>
      <c r="K118" s="18">
        <v>9735239</v>
      </c>
      <c r="L118" s="18">
        <v>839827</v>
      </c>
      <c r="M118" s="18" t="s">
        <v>1245</v>
      </c>
      <c r="N118" s="16" t="s">
        <v>1115</v>
      </c>
      <c r="O118" s="18" t="s">
        <v>1092</v>
      </c>
      <c r="P118" s="18" t="s">
        <v>1246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1120</v>
      </c>
      <c r="K119" s="18">
        <v>9734907</v>
      </c>
      <c r="L119" s="18">
        <v>839177</v>
      </c>
      <c r="M119" s="18" t="s">
        <v>1247</v>
      </c>
      <c r="N119" s="16" t="s">
        <v>1115</v>
      </c>
      <c r="O119" s="18" t="s">
        <v>1092</v>
      </c>
      <c r="P119" s="18" t="s">
        <v>1213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1120</v>
      </c>
      <c r="K120" s="18">
        <v>9735135</v>
      </c>
      <c r="L120" s="18">
        <v>839845</v>
      </c>
      <c r="M120" s="18" t="s">
        <v>1217</v>
      </c>
      <c r="N120" s="16" t="s">
        <v>1218</v>
      </c>
      <c r="O120" s="18" t="s">
        <v>1092</v>
      </c>
      <c r="P120" s="18" t="s">
        <v>1219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1248</v>
      </c>
      <c r="K121" s="18">
        <v>5018842</v>
      </c>
      <c r="L121" s="18" t="s">
        <v>1092</v>
      </c>
      <c r="M121" s="18" t="s">
        <v>1092</v>
      </c>
      <c r="N121" s="16" t="s">
        <v>1092</v>
      </c>
      <c r="O121" s="18" t="s">
        <v>1092</v>
      </c>
      <c r="P121" s="18" t="s">
        <v>1092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1248</v>
      </c>
      <c r="K122" s="18">
        <v>5018842</v>
      </c>
      <c r="L122" s="18" t="s">
        <v>1092</v>
      </c>
      <c r="M122" s="18" t="s">
        <v>1092</v>
      </c>
      <c r="N122" s="16" t="s">
        <v>1092</v>
      </c>
      <c r="O122" s="18" t="s">
        <v>1092</v>
      </c>
      <c r="P122" s="18" t="s">
        <v>1092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1248</v>
      </c>
      <c r="K123" s="18">
        <v>5018842</v>
      </c>
      <c r="L123" s="18" t="s">
        <v>1092</v>
      </c>
      <c r="M123" s="18" t="s">
        <v>1092</v>
      </c>
      <c r="N123" s="16" t="s">
        <v>1092</v>
      </c>
      <c r="O123" s="18" t="s">
        <v>1092</v>
      </c>
      <c r="P123" s="18" t="s">
        <v>1092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>
      <c r="A124" s="16">
        <v>46031</v>
      </c>
      <c r="B124" s="16">
        <v>46036</v>
      </c>
      <c r="C124" s="21" t="s">
        <v>1249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1082</v>
      </c>
      <c r="K124" s="18">
        <v>9735121</v>
      </c>
      <c r="L124" s="18">
        <v>839369</v>
      </c>
      <c r="M124" s="18" t="s">
        <v>1250</v>
      </c>
      <c r="N124" s="16" t="s">
        <v>1115</v>
      </c>
      <c r="O124" s="18" t="s">
        <v>1092</v>
      </c>
      <c r="P124" s="18" t="s">
        <v>1251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>
      <c r="A125" s="16">
        <v>46031</v>
      </c>
      <c r="B125" s="16">
        <v>46036</v>
      </c>
      <c r="C125" s="21" t="s">
        <v>1252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1082</v>
      </c>
      <c r="K125" s="18">
        <v>9735098</v>
      </c>
      <c r="L125" s="18">
        <v>839391</v>
      </c>
      <c r="M125" s="18" t="s">
        <v>1253</v>
      </c>
      <c r="N125" s="16" t="s">
        <v>1115</v>
      </c>
      <c r="O125" s="18" t="s">
        <v>1092</v>
      </c>
      <c r="P125" s="18" t="s">
        <v>1177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1254</v>
      </c>
      <c r="K126" s="18">
        <v>5018827</v>
      </c>
      <c r="L126" s="18">
        <v>838090</v>
      </c>
      <c r="M126" s="18" t="s">
        <v>1201</v>
      </c>
      <c r="N126" s="16" t="s">
        <v>1159</v>
      </c>
      <c r="O126" s="18" t="s">
        <v>1092</v>
      </c>
      <c r="P126" s="18" t="s">
        <v>1115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1254</v>
      </c>
      <c r="K127" s="18">
        <v>5018827</v>
      </c>
      <c r="L127" s="18">
        <v>838090</v>
      </c>
      <c r="M127" s="18" t="s">
        <v>1201</v>
      </c>
      <c r="N127" s="16" t="s">
        <v>1159</v>
      </c>
      <c r="O127" s="18" t="s">
        <v>1092</v>
      </c>
      <c r="P127" s="18" t="s">
        <v>1115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1255</v>
      </c>
      <c r="G128" s="22">
        <v>385</v>
      </c>
      <c r="H128" s="22"/>
      <c r="I128" s="22">
        <f t="shared" ref="I128:I191" si="3">G128+H128</f>
        <v>385</v>
      </c>
      <c r="J128" s="18" t="s">
        <v>1120</v>
      </c>
      <c r="K128" s="18">
        <v>9737519</v>
      </c>
      <c r="L128" s="18">
        <v>844209</v>
      </c>
      <c r="M128" s="18" t="s">
        <v>1256</v>
      </c>
      <c r="N128" s="16" t="s">
        <v>1218</v>
      </c>
      <c r="O128" s="18" t="s">
        <v>1092</v>
      </c>
      <c r="P128" s="18" t="s">
        <v>1213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>
      <c r="A129" s="16">
        <v>46036</v>
      </c>
      <c r="B129" s="16">
        <v>46036</v>
      </c>
      <c r="C129" s="21" t="s">
        <v>1257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1196</v>
      </c>
      <c r="K129" s="18" t="s">
        <v>1258</v>
      </c>
      <c r="L129" s="18">
        <v>839193</v>
      </c>
      <c r="M129" s="18" t="s">
        <v>1259</v>
      </c>
      <c r="N129" s="16" t="s">
        <v>1115</v>
      </c>
      <c r="O129" s="18" t="s">
        <v>1092</v>
      </c>
      <c r="P129" s="18" t="s">
        <v>1174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1196</v>
      </c>
      <c r="K130" s="18">
        <v>9737534</v>
      </c>
      <c r="L130" s="18">
        <v>842892</v>
      </c>
      <c r="M130" s="18" t="s">
        <v>1260</v>
      </c>
      <c r="N130" s="16" t="s">
        <v>1218</v>
      </c>
      <c r="O130" s="18" t="s">
        <v>1092</v>
      </c>
      <c r="P130" s="18" t="s">
        <v>1261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1262</v>
      </c>
      <c r="K131" s="18">
        <v>9744066</v>
      </c>
      <c r="L131" s="18">
        <v>850005</v>
      </c>
      <c r="M131" s="18" t="s">
        <v>1263</v>
      </c>
      <c r="N131" s="16" t="s">
        <v>1264</v>
      </c>
      <c r="O131" s="18" t="s">
        <v>1092</v>
      </c>
      <c r="P131" s="18" t="s">
        <v>1265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1262</v>
      </c>
      <c r="K132" s="18">
        <v>9744067</v>
      </c>
      <c r="L132" s="18">
        <v>849435</v>
      </c>
      <c r="M132" s="18" t="s">
        <v>1266</v>
      </c>
      <c r="N132" s="16" t="s">
        <v>1264</v>
      </c>
      <c r="O132" s="18" t="s">
        <v>1092</v>
      </c>
      <c r="P132" s="18" t="s">
        <v>1267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1120</v>
      </c>
      <c r="K133" s="18">
        <v>973758</v>
      </c>
      <c r="L133" s="18">
        <v>840521</v>
      </c>
      <c r="M133" s="18" t="s">
        <v>1268</v>
      </c>
      <c r="N133" s="16" t="s">
        <v>1174</v>
      </c>
      <c r="O133" s="18" t="s">
        <v>1092</v>
      </c>
      <c r="P133" s="18" t="s">
        <v>1269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1120</v>
      </c>
      <c r="K134" s="18">
        <v>5018857</v>
      </c>
      <c r="L134" s="18">
        <v>840506</v>
      </c>
      <c r="M134" s="18" t="s">
        <v>1270</v>
      </c>
      <c r="N134" s="16" t="s">
        <v>1176</v>
      </c>
      <c r="O134" s="18" t="s">
        <v>1092</v>
      </c>
      <c r="P134" s="18" t="s">
        <v>1174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1120</v>
      </c>
      <c r="K135" s="18">
        <v>9743845</v>
      </c>
      <c r="L135" s="18">
        <v>847487</v>
      </c>
      <c r="M135" s="18" t="s">
        <v>1271</v>
      </c>
      <c r="N135" s="16" t="s">
        <v>1239</v>
      </c>
      <c r="O135" s="18" t="s">
        <v>1092</v>
      </c>
      <c r="P135" s="18" t="s">
        <v>1272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1120</v>
      </c>
      <c r="K136" s="18">
        <v>9737591</v>
      </c>
      <c r="L136" s="18">
        <v>840495</v>
      </c>
      <c r="M136" s="18" t="s">
        <v>1273</v>
      </c>
      <c r="N136" s="16" t="s">
        <v>1176</v>
      </c>
      <c r="O136" s="18" t="s">
        <v>1092</v>
      </c>
      <c r="P136" s="18" t="s">
        <v>1174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1196</v>
      </c>
      <c r="K137" s="18">
        <v>9737532</v>
      </c>
      <c r="L137" s="18">
        <v>840482</v>
      </c>
      <c r="M137" s="18" t="s">
        <v>1274</v>
      </c>
      <c r="N137" s="16" t="s">
        <v>1176</v>
      </c>
      <c r="O137" s="18" t="s">
        <v>1092</v>
      </c>
      <c r="P137" s="18" t="s">
        <v>1174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1120</v>
      </c>
      <c r="K138" s="18">
        <v>9737864</v>
      </c>
      <c r="L138" s="18">
        <v>9737864</v>
      </c>
      <c r="M138" s="18" t="s">
        <v>1275</v>
      </c>
      <c r="N138" s="16" t="s">
        <v>1176</v>
      </c>
      <c r="O138" s="18" t="s">
        <v>1092</v>
      </c>
      <c r="P138" s="18" t="s">
        <v>1276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1120</v>
      </c>
      <c r="K139" s="18">
        <v>9737527</v>
      </c>
      <c r="L139" s="18">
        <v>8402926</v>
      </c>
      <c r="M139" s="18" t="s">
        <v>1277</v>
      </c>
      <c r="N139" s="16" t="s">
        <v>1176</v>
      </c>
      <c r="O139" s="18" t="s">
        <v>1092</v>
      </c>
      <c r="P139" s="18" t="s">
        <v>1278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1196</v>
      </c>
      <c r="K140" s="18">
        <v>9737524</v>
      </c>
      <c r="L140" s="18">
        <v>840476</v>
      </c>
      <c r="M140" s="18" t="s">
        <v>1279</v>
      </c>
      <c r="N140" s="16" t="s">
        <v>1176</v>
      </c>
      <c r="O140" s="18" t="s">
        <v>1092</v>
      </c>
      <c r="P140" s="18" t="s">
        <v>1174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1082</v>
      </c>
      <c r="K141" s="18">
        <v>9706622</v>
      </c>
      <c r="L141" s="18">
        <v>851253</v>
      </c>
      <c r="M141" s="18" t="s">
        <v>1280</v>
      </c>
      <c r="N141" s="16" t="s">
        <v>1281</v>
      </c>
      <c r="O141" s="18" t="s">
        <v>1092</v>
      </c>
      <c r="P141" s="18" t="s">
        <v>1282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1082</v>
      </c>
      <c r="K142" s="18">
        <v>973322</v>
      </c>
      <c r="L142" s="18">
        <v>845199</v>
      </c>
      <c r="M142" s="18" t="s">
        <v>1283</v>
      </c>
      <c r="N142" s="16" t="s">
        <v>1213</v>
      </c>
      <c r="O142" s="18" t="s">
        <v>1092</v>
      </c>
      <c r="P142" s="18" t="s">
        <v>1219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1077</v>
      </c>
      <c r="K143" s="18">
        <v>9743130</v>
      </c>
      <c r="L143" s="18">
        <v>849367</v>
      </c>
      <c r="M143" s="18" t="s">
        <v>1284</v>
      </c>
      <c r="N143" s="16" t="s">
        <v>1239</v>
      </c>
      <c r="O143" s="18" t="s">
        <v>1092</v>
      </c>
      <c r="P143" s="18" t="s">
        <v>1285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1077</v>
      </c>
      <c r="K144" s="18">
        <v>9743130</v>
      </c>
      <c r="L144" s="18">
        <v>849367</v>
      </c>
      <c r="M144" s="18" t="s">
        <v>1284</v>
      </c>
      <c r="N144" s="16" t="s">
        <v>1239</v>
      </c>
      <c r="O144" s="18" t="s">
        <v>1092</v>
      </c>
      <c r="P144" s="18" t="s">
        <v>1285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>
      <c r="A145" s="16">
        <v>46037</v>
      </c>
      <c r="B145" s="16" t="s">
        <v>1131</v>
      </c>
      <c r="C145" s="21" t="s">
        <v>1286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1082</v>
      </c>
      <c r="K145" s="18" t="s">
        <v>1131</v>
      </c>
      <c r="L145" s="18" t="s">
        <v>1131</v>
      </c>
      <c r="M145" s="18" t="s">
        <v>1092</v>
      </c>
      <c r="N145" s="16" t="s">
        <v>1092</v>
      </c>
      <c r="O145" s="18" t="s">
        <v>1092</v>
      </c>
      <c r="P145" s="18" t="s">
        <v>1092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1287</v>
      </c>
    </row>
    <row r="146" spans="1:18">
      <c r="A146" s="16">
        <v>46037</v>
      </c>
      <c r="B146" s="16">
        <v>46044</v>
      </c>
      <c r="C146" s="21" t="s">
        <v>1288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1082</v>
      </c>
      <c r="K146" s="18">
        <v>9737615</v>
      </c>
      <c r="L146" s="18">
        <v>845952</v>
      </c>
      <c r="M146" s="18" t="s">
        <v>1289</v>
      </c>
      <c r="N146" s="16" t="s">
        <v>1290</v>
      </c>
      <c r="O146" s="18" t="s">
        <v>1092</v>
      </c>
      <c r="P146" s="18" t="s">
        <v>1291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>
      <c r="A147" s="16">
        <v>46037</v>
      </c>
      <c r="B147" s="16">
        <v>46042</v>
      </c>
      <c r="C147" s="21" t="s">
        <v>1292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1082</v>
      </c>
      <c r="K147" s="18" t="s">
        <v>1092</v>
      </c>
      <c r="L147" s="18" t="s">
        <v>1092</v>
      </c>
      <c r="M147" s="18" t="s">
        <v>1092</v>
      </c>
      <c r="N147" s="16" t="s">
        <v>1092</v>
      </c>
      <c r="O147" s="18" t="s">
        <v>1092</v>
      </c>
      <c r="P147" s="18" t="s">
        <v>1092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>
      <c r="A148" s="16">
        <v>46037</v>
      </c>
      <c r="B148" s="16">
        <v>46042</v>
      </c>
      <c r="C148" s="21" t="s">
        <v>1131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1082</v>
      </c>
      <c r="K148" s="18" t="s">
        <v>1092</v>
      </c>
      <c r="L148" s="18" t="s">
        <v>1092</v>
      </c>
      <c r="M148" s="18" t="s">
        <v>1092</v>
      </c>
      <c r="N148" s="16" t="s">
        <v>1092</v>
      </c>
      <c r="O148" s="18" t="s">
        <v>1092</v>
      </c>
      <c r="P148" s="18" t="s">
        <v>1092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>
      <c r="A149" s="16">
        <v>46037</v>
      </c>
      <c r="B149" s="16">
        <v>46042</v>
      </c>
      <c r="C149" s="21" t="s">
        <v>1131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1082</v>
      </c>
      <c r="K149" s="18" t="s">
        <v>1092</v>
      </c>
      <c r="L149" s="18" t="s">
        <v>1092</v>
      </c>
      <c r="M149" s="18" t="s">
        <v>1092</v>
      </c>
      <c r="N149" s="16" t="s">
        <v>1092</v>
      </c>
      <c r="O149" s="18" t="s">
        <v>1092</v>
      </c>
      <c r="P149" s="18" t="s">
        <v>1092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1293</v>
      </c>
      <c r="G150" s="22">
        <v>20820.599999999999</v>
      </c>
      <c r="H150" s="22"/>
      <c r="I150" s="22">
        <f t="shared" si="3"/>
        <v>20820.599999999999</v>
      </c>
      <c r="J150" s="18" t="s">
        <v>1077</v>
      </c>
      <c r="K150" s="18">
        <v>9744019</v>
      </c>
      <c r="L150" s="18">
        <v>846667</v>
      </c>
      <c r="M150" s="18" t="s">
        <v>1294</v>
      </c>
      <c r="N150" s="16" t="s">
        <v>1239</v>
      </c>
      <c r="O150" s="18" t="s">
        <v>1092</v>
      </c>
      <c r="P150" s="18" t="s">
        <v>1285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1295</v>
      </c>
      <c r="G151" s="22">
        <v>4725</v>
      </c>
      <c r="H151" s="22"/>
      <c r="I151" s="22">
        <f t="shared" si="3"/>
        <v>4725</v>
      </c>
      <c r="J151" s="18" t="s">
        <v>1077</v>
      </c>
      <c r="K151" s="18">
        <v>9744063</v>
      </c>
      <c r="L151" s="18">
        <v>847365</v>
      </c>
      <c r="M151" s="18" t="s">
        <v>1296</v>
      </c>
      <c r="N151" s="16" t="s">
        <v>1290</v>
      </c>
      <c r="O151" s="18" t="s">
        <v>1092</v>
      </c>
      <c r="P151" s="18" t="s">
        <v>1239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>
      <c r="A152" s="16">
        <v>46037</v>
      </c>
      <c r="B152" s="16">
        <v>46045</v>
      </c>
      <c r="C152" s="21" t="s">
        <v>1131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1297</v>
      </c>
      <c r="G152" s="22">
        <v>2790</v>
      </c>
      <c r="H152" s="22"/>
      <c r="I152" s="22">
        <f t="shared" si="3"/>
        <v>2790</v>
      </c>
      <c r="J152" s="18" t="s">
        <v>1077</v>
      </c>
      <c r="K152" s="18">
        <v>9744011</v>
      </c>
      <c r="L152" s="18">
        <v>847365</v>
      </c>
      <c r="M152" s="18" t="s">
        <v>1296</v>
      </c>
      <c r="N152" s="16" t="s">
        <v>1290</v>
      </c>
      <c r="O152" s="18" t="s">
        <v>1092</v>
      </c>
      <c r="P152" s="18" t="s">
        <v>1239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1298</v>
      </c>
      <c r="G153" s="22">
        <v>2040.3</v>
      </c>
      <c r="H153" s="22"/>
      <c r="I153" s="22">
        <f t="shared" si="3"/>
        <v>2040.3</v>
      </c>
      <c r="J153" s="18" t="s">
        <v>1077</v>
      </c>
      <c r="K153" s="18">
        <v>9743796</v>
      </c>
      <c r="L153" s="18">
        <v>846667</v>
      </c>
      <c r="M153" s="18" t="s">
        <v>1294</v>
      </c>
      <c r="N153" s="16" t="s">
        <v>1239</v>
      </c>
      <c r="O153" s="18" t="s">
        <v>1092</v>
      </c>
      <c r="P153" s="18" t="s">
        <v>1285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1299</v>
      </c>
      <c r="G154" s="22">
        <v>900</v>
      </c>
      <c r="H154" s="22"/>
      <c r="I154" s="22">
        <f t="shared" si="3"/>
        <v>900</v>
      </c>
      <c r="J154" s="18" t="s">
        <v>1110</v>
      </c>
      <c r="K154" s="18">
        <v>9737768</v>
      </c>
      <c r="L154" s="18">
        <v>844209</v>
      </c>
      <c r="M154" s="18" t="s">
        <v>1256</v>
      </c>
      <c r="N154" s="16" t="s">
        <v>1218</v>
      </c>
      <c r="O154" s="18" t="s">
        <v>1092</v>
      </c>
      <c r="P154" s="18" t="s">
        <v>1213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1300</v>
      </c>
      <c r="G155" s="22">
        <v>758.16</v>
      </c>
      <c r="H155" s="22"/>
      <c r="I155" s="22">
        <f t="shared" si="3"/>
        <v>758.16</v>
      </c>
      <c r="J155" s="18" t="s">
        <v>1077</v>
      </c>
      <c r="K155" s="18">
        <v>9743793</v>
      </c>
      <c r="L155" s="18">
        <v>846667</v>
      </c>
      <c r="M155" s="18" t="s">
        <v>1294</v>
      </c>
      <c r="N155" s="16" t="s">
        <v>1239</v>
      </c>
      <c r="O155" s="18" t="s">
        <v>1092</v>
      </c>
      <c r="P155" s="18" t="s">
        <v>1285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1301</v>
      </c>
      <c r="G156" s="22">
        <v>750.24</v>
      </c>
      <c r="H156" s="22"/>
      <c r="I156" s="22">
        <f t="shared" si="3"/>
        <v>750.24</v>
      </c>
      <c r="J156" s="18" t="s">
        <v>1077</v>
      </c>
      <c r="K156" s="18">
        <v>9743794</v>
      </c>
      <c r="L156" s="18">
        <v>846667</v>
      </c>
      <c r="M156" s="18" t="s">
        <v>1294</v>
      </c>
      <c r="N156" s="16" t="s">
        <v>1239</v>
      </c>
      <c r="O156" s="18" t="s">
        <v>1302</v>
      </c>
      <c r="P156" s="18" t="s">
        <v>1285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1303</v>
      </c>
      <c r="G157" s="22">
        <v>720</v>
      </c>
      <c r="H157" s="22"/>
      <c r="I157" s="22">
        <f t="shared" si="3"/>
        <v>720</v>
      </c>
      <c r="J157" s="18" t="s">
        <v>1077</v>
      </c>
      <c r="K157" s="18">
        <v>9743192</v>
      </c>
      <c r="L157" s="18">
        <v>847365</v>
      </c>
      <c r="M157" s="18" t="s">
        <v>1296</v>
      </c>
      <c r="N157" s="16" t="s">
        <v>1290</v>
      </c>
      <c r="O157" s="18" t="s">
        <v>1304</v>
      </c>
      <c r="P157" s="18" t="s">
        <v>1239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1305</v>
      </c>
      <c r="G158" s="22">
        <v>720</v>
      </c>
      <c r="H158" s="22"/>
      <c r="I158" s="22">
        <f t="shared" si="3"/>
        <v>720</v>
      </c>
      <c r="J158" s="18" t="s">
        <v>1077</v>
      </c>
      <c r="K158" s="18">
        <v>9743782</v>
      </c>
      <c r="L158" s="18">
        <v>847365</v>
      </c>
      <c r="M158" s="18" t="s">
        <v>1296</v>
      </c>
      <c r="N158" s="16" t="s">
        <v>1290</v>
      </c>
      <c r="O158" s="18" t="s">
        <v>1304</v>
      </c>
      <c r="P158" s="18" t="s">
        <v>1239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1097</v>
      </c>
      <c r="G159" s="22">
        <v>408.78</v>
      </c>
      <c r="H159" s="22"/>
      <c r="I159" s="22">
        <f t="shared" si="3"/>
        <v>408.78</v>
      </c>
      <c r="J159" s="18" t="s">
        <v>1077</v>
      </c>
      <c r="K159" s="18">
        <v>9743787</v>
      </c>
      <c r="L159" s="18">
        <v>846667</v>
      </c>
      <c r="M159" s="18" t="s">
        <v>1294</v>
      </c>
      <c r="N159" s="16" t="s">
        <v>1239</v>
      </c>
      <c r="O159" s="18" t="s">
        <v>1302</v>
      </c>
      <c r="P159" s="18" t="s">
        <v>1285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1306</v>
      </c>
      <c r="G160" s="22">
        <v>375</v>
      </c>
      <c r="H160" s="22"/>
      <c r="I160" s="22">
        <f t="shared" si="3"/>
        <v>375</v>
      </c>
      <c r="J160" s="18" t="s">
        <v>1077</v>
      </c>
      <c r="K160" s="18">
        <v>9743193</v>
      </c>
      <c r="L160" s="18">
        <v>847365</v>
      </c>
      <c r="M160" s="18" t="s">
        <v>1296</v>
      </c>
      <c r="N160" s="16" t="s">
        <v>1290</v>
      </c>
      <c r="O160" s="18" t="s">
        <v>1304</v>
      </c>
      <c r="P160" s="18" t="s">
        <v>1239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1307</v>
      </c>
      <c r="G161" s="22">
        <v>337.5</v>
      </c>
      <c r="H161" s="22"/>
      <c r="I161" s="22">
        <f t="shared" si="3"/>
        <v>337.5</v>
      </c>
      <c r="J161" s="18" t="s">
        <v>1077</v>
      </c>
      <c r="K161" s="18">
        <v>9743757</v>
      </c>
      <c r="L161" s="18">
        <v>847365</v>
      </c>
      <c r="M161" s="18" t="s">
        <v>1296</v>
      </c>
      <c r="N161" s="16" t="s">
        <v>1290</v>
      </c>
      <c r="O161" s="18" t="s">
        <v>1304</v>
      </c>
      <c r="P161" s="18" t="s">
        <v>1239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1308</v>
      </c>
      <c r="G162" s="22">
        <v>280.44</v>
      </c>
      <c r="H162" s="22"/>
      <c r="I162" s="22">
        <f t="shared" si="3"/>
        <v>280.44</v>
      </c>
      <c r="J162" s="18" t="s">
        <v>1077</v>
      </c>
      <c r="K162" s="18">
        <v>9743751</v>
      </c>
      <c r="L162" s="18">
        <v>846667</v>
      </c>
      <c r="M162" s="18" t="s">
        <v>1294</v>
      </c>
      <c r="N162" s="16" t="s">
        <v>1239</v>
      </c>
      <c r="O162" s="18" t="s">
        <v>1302</v>
      </c>
      <c r="P162" s="18" t="s">
        <v>1285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1077</v>
      </c>
      <c r="K163" s="18">
        <v>5018910</v>
      </c>
      <c r="L163" s="18">
        <v>841208</v>
      </c>
      <c r="M163" s="18" t="s">
        <v>1309</v>
      </c>
      <c r="N163" s="16" t="s">
        <v>1174</v>
      </c>
      <c r="O163" s="18" t="s">
        <v>1102</v>
      </c>
      <c r="P163" s="18" t="s">
        <v>1174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1077</v>
      </c>
      <c r="K164" s="18">
        <v>5018838</v>
      </c>
      <c r="L164" s="18">
        <v>841175</v>
      </c>
      <c r="M164" s="18" t="s">
        <v>1310</v>
      </c>
      <c r="N164" s="16" t="s">
        <v>1174</v>
      </c>
      <c r="O164" s="18" t="s">
        <v>1311</v>
      </c>
      <c r="P164" s="18" t="s">
        <v>1218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1077</v>
      </c>
      <c r="K165" s="18">
        <v>9744115</v>
      </c>
      <c r="L165" s="18">
        <v>848309</v>
      </c>
      <c r="M165" s="18" t="s">
        <v>1312</v>
      </c>
      <c r="N165" s="16" t="s">
        <v>1313</v>
      </c>
      <c r="O165" s="18" t="s">
        <v>1314</v>
      </c>
      <c r="P165" s="18" t="s">
        <v>1315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>
      <c r="A166" s="16">
        <v>46037</v>
      </c>
      <c r="B166" s="16">
        <v>46048</v>
      </c>
      <c r="C166" s="21" t="s">
        <v>1316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1077</v>
      </c>
      <c r="K166" s="18" t="s">
        <v>1317</v>
      </c>
      <c r="L166" s="18">
        <v>848427</v>
      </c>
      <c r="M166" s="18" t="s">
        <v>1318</v>
      </c>
      <c r="N166" s="16" t="s">
        <v>1281</v>
      </c>
      <c r="O166" s="18" t="s">
        <v>1319</v>
      </c>
      <c r="P166" s="18" t="s">
        <v>1320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>
      <c r="A167" s="16">
        <v>46037</v>
      </c>
      <c r="B167" s="16">
        <v>46048</v>
      </c>
      <c r="C167" s="21" t="s">
        <v>1321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1077</v>
      </c>
      <c r="K167" s="18" t="s">
        <v>1322</v>
      </c>
      <c r="L167" s="18">
        <v>848368</v>
      </c>
      <c r="M167" s="18" t="s">
        <v>1323</v>
      </c>
      <c r="N167" s="16" t="s">
        <v>1313</v>
      </c>
      <c r="O167" s="18" t="s">
        <v>1324</v>
      </c>
      <c r="P167" s="18" t="s">
        <v>1325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1077</v>
      </c>
      <c r="K168" s="18">
        <v>9737082</v>
      </c>
      <c r="L168" s="18">
        <v>845262</v>
      </c>
      <c r="M168" s="18" t="s">
        <v>1326</v>
      </c>
      <c r="N168" s="16" t="s">
        <v>1213</v>
      </c>
      <c r="O168" s="18" t="s">
        <v>1327</v>
      </c>
      <c r="P168" s="18" t="s">
        <v>1328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>
      <c r="A169" s="16">
        <v>46037</v>
      </c>
      <c r="B169" s="16">
        <v>46048</v>
      </c>
      <c r="C169" s="21" t="s">
        <v>1321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1077</v>
      </c>
      <c r="K169" s="18" t="s">
        <v>1322</v>
      </c>
      <c r="L169" s="18">
        <v>848368</v>
      </c>
      <c r="M169" s="18" t="s">
        <v>1323</v>
      </c>
      <c r="N169" s="16" t="s">
        <v>1313</v>
      </c>
      <c r="O169" s="18" t="s">
        <v>1324</v>
      </c>
      <c r="P169" s="18" t="s">
        <v>1325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>
      <c r="A170" s="16">
        <v>46037</v>
      </c>
      <c r="B170" s="16">
        <v>46048</v>
      </c>
      <c r="C170" s="21" t="s">
        <v>1316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1077</v>
      </c>
      <c r="K170" s="18" t="s">
        <v>1329</v>
      </c>
      <c r="L170" s="18">
        <v>848427</v>
      </c>
      <c r="M170" s="18" t="s">
        <v>1318</v>
      </c>
      <c r="N170" s="16" t="s">
        <v>1281</v>
      </c>
      <c r="O170" s="18" t="s">
        <v>1319</v>
      </c>
      <c r="P170" s="18" t="s">
        <v>1320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1077</v>
      </c>
      <c r="K171" s="18">
        <v>9743950</v>
      </c>
      <c r="L171" s="18">
        <v>847260</v>
      </c>
      <c r="M171" s="18" t="s">
        <v>1330</v>
      </c>
      <c r="N171" s="16" t="s">
        <v>1239</v>
      </c>
      <c r="O171" s="18" t="s">
        <v>1331</v>
      </c>
      <c r="P171" s="18" t="s">
        <v>1089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1110</v>
      </c>
      <c r="K172" s="18">
        <v>5019191</v>
      </c>
      <c r="L172" s="18">
        <v>852761</v>
      </c>
      <c r="M172" s="18" t="s">
        <v>1332</v>
      </c>
      <c r="N172" s="16" t="s">
        <v>1281</v>
      </c>
      <c r="O172" s="18" t="s">
        <v>1333</v>
      </c>
      <c r="P172" s="18" t="s">
        <v>1089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1110</v>
      </c>
      <c r="K173" s="18">
        <v>9743901</v>
      </c>
      <c r="L173" s="18">
        <v>848919</v>
      </c>
      <c r="M173" s="18" t="s">
        <v>1334</v>
      </c>
      <c r="N173" s="16" t="s">
        <v>1313</v>
      </c>
      <c r="O173" s="18" t="s">
        <v>1335</v>
      </c>
      <c r="P173" s="18" t="s">
        <v>1336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>
      <c r="A174" s="16">
        <v>46037</v>
      </c>
      <c r="B174" s="16">
        <v>46045</v>
      </c>
      <c r="C174" s="21" t="s">
        <v>1131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1077</v>
      </c>
      <c r="K174" s="18">
        <v>5019013</v>
      </c>
      <c r="L174" s="18">
        <v>847260</v>
      </c>
      <c r="M174" s="18" t="s">
        <v>1330</v>
      </c>
      <c r="N174" s="16" t="s">
        <v>1239</v>
      </c>
      <c r="O174" s="18" t="s">
        <v>1331</v>
      </c>
      <c r="P174" s="18" t="s">
        <v>1089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>
      <c r="A175" s="16">
        <v>46037</v>
      </c>
      <c r="B175" s="16">
        <v>46045</v>
      </c>
      <c r="C175" s="21" t="s">
        <v>1131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1077</v>
      </c>
      <c r="K175" s="18">
        <v>9744176</v>
      </c>
      <c r="L175" s="18">
        <v>847260</v>
      </c>
      <c r="M175" s="18" t="s">
        <v>1330</v>
      </c>
      <c r="N175" s="16" t="s">
        <v>1239</v>
      </c>
      <c r="O175" s="18" t="s">
        <v>1331</v>
      </c>
      <c r="P175" s="18" t="s">
        <v>1089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1077</v>
      </c>
      <c r="K176" s="18">
        <v>9744000</v>
      </c>
      <c r="L176" s="18">
        <v>847260</v>
      </c>
      <c r="M176" s="18" t="s">
        <v>1330</v>
      </c>
      <c r="N176" s="16" t="s">
        <v>1239</v>
      </c>
      <c r="O176" s="18" t="s">
        <v>1331</v>
      </c>
      <c r="P176" s="18" t="s">
        <v>1089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1110</v>
      </c>
      <c r="K177" s="18">
        <v>9743903</v>
      </c>
      <c r="L177" s="18">
        <v>848556</v>
      </c>
      <c r="M177" s="18" t="s">
        <v>1337</v>
      </c>
      <c r="N177" s="16" t="s">
        <v>1338</v>
      </c>
      <c r="O177" s="18" t="s">
        <v>1339</v>
      </c>
      <c r="P177" s="18" t="s">
        <v>1340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>
      <c r="A178" s="16">
        <v>46037</v>
      </c>
      <c r="B178" s="16">
        <v>46045</v>
      </c>
      <c r="C178" s="21" t="s">
        <v>1341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1110</v>
      </c>
      <c r="K178" s="18" t="s">
        <v>1342</v>
      </c>
      <c r="L178" s="18">
        <v>847303</v>
      </c>
      <c r="M178" s="18" t="s">
        <v>1343</v>
      </c>
      <c r="N178" s="16" t="s">
        <v>1290</v>
      </c>
      <c r="O178" s="18" t="s">
        <v>1344</v>
      </c>
      <c r="P178" s="18" t="s">
        <v>1089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1077</v>
      </c>
      <c r="K179" s="18">
        <v>9743977</v>
      </c>
      <c r="L179" s="18">
        <v>847260</v>
      </c>
      <c r="M179" s="18" t="s">
        <v>1330</v>
      </c>
      <c r="N179" s="16" t="s">
        <v>1239</v>
      </c>
      <c r="O179" s="18" t="s">
        <v>1331</v>
      </c>
      <c r="P179" s="18" t="s">
        <v>1089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1110</v>
      </c>
      <c r="K180" s="18">
        <v>9743911</v>
      </c>
      <c r="L180" s="18">
        <v>847260</v>
      </c>
      <c r="M180" s="18" t="s">
        <v>1330</v>
      </c>
      <c r="N180" s="16" t="s">
        <v>1239</v>
      </c>
      <c r="O180" s="18" t="s">
        <v>1331</v>
      </c>
      <c r="P180" s="18" t="s">
        <v>1089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1110</v>
      </c>
      <c r="K181" s="18">
        <v>5019192</v>
      </c>
      <c r="L181" s="18">
        <v>852761</v>
      </c>
      <c r="M181" s="18" t="s">
        <v>1332</v>
      </c>
      <c r="N181" s="16" t="s">
        <v>1281</v>
      </c>
      <c r="O181" s="18" t="s">
        <v>1333</v>
      </c>
      <c r="P181" s="18" t="s">
        <v>1089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>
      <c r="A182" s="16">
        <v>46037</v>
      </c>
      <c r="B182" s="16">
        <v>46045</v>
      </c>
      <c r="C182" s="21" t="s">
        <v>1345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1094</v>
      </c>
      <c r="K182" s="18" t="s">
        <v>1346</v>
      </c>
      <c r="L182" s="18">
        <v>847303</v>
      </c>
      <c r="M182" s="18" t="s">
        <v>1343</v>
      </c>
      <c r="N182" s="16" t="s">
        <v>1290</v>
      </c>
      <c r="O182" s="18" t="s">
        <v>1344</v>
      </c>
      <c r="P182" s="18" t="s">
        <v>1089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1110</v>
      </c>
      <c r="K183" s="18">
        <v>9743874</v>
      </c>
      <c r="L183" s="18">
        <v>847260</v>
      </c>
      <c r="M183" s="18" t="s">
        <v>1330</v>
      </c>
      <c r="N183" s="16" t="s">
        <v>1239</v>
      </c>
      <c r="O183" s="18" t="s">
        <v>1331</v>
      </c>
      <c r="P183" s="18" t="s">
        <v>1089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1110</v>
      </c>
      <c r="K184" s="18">
        <v>9743909</v>
      </c>
      <c r="L184" s="18">
        <v>848807</v>
      </c>
      <c r="M184" s="18" t="s">
        <v>1347</v>
      </c>
      <c r="N184" s="16" t="s">
        <v>1338</v>
      </c>
      <c r="O184" s="18" t="s">
        <v>1348</v>
      </c>
      <c r="P184" s="18" t="s">
        <v>1340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1110</v>
      </c>
      <c r="K185" s="18">
        <v>9743878</v>
      </c>
      <c r="L185" s="18">
        <v>847260</v>
      </c>
      <c r="M185" s="18" t="s">
        <v>1330</v>
      </c>
      <c r="N185" s="16" t="s">
        <v>1239</v>
      </c>
      <c r="O185" s="18" t="s">
        <v>1331</v>
      </c>
      <c r="P185" s="18" t="s">
        <v>1089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1077</v>
      </c>
      <c r="K186" s="18">
        <v>9743959</v>
      </c>
      <c r="L186" s="18">
        <v>847303</v>
      </c>
      <c r="M186" s="18" t="s">
        <v>1343</v>
      </c>
      <c r="N186" s="16" t="s">
        <v>1290</v>
      </c>
      <c r="O186" s="18" t="s">
        <v>1344</v>
      </c>
      <c r="P186" s="18" t="s">
        <v>1089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1196</v>
      </c>
      <c r="K187" s="18">
        <v>9744004</v>
      </c>
      <c r="L187" s="18">
        <v>847303</v>
      </c>
      <c r="M187" s="18" t="s">
        <v>1343</v>
      </c>
      <c r="N187" s="16" t="s">
        <v>1290</v>
      </c>
      <c r="O187" s="18" t="s">
        <v>1344</v>
      </c>
      <c r="P187" s="18" t="s">
        <v>1089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1196</v>
      </c>
      <c r="K188" s="18">
        <v>9744003</v>
      </c>
      <c r="L188" s="18">
        <v>848897</v>
      </c>
      <c r="M188" s="18" t="s">
        <v>1349</v>
      </c>
      <c r="N188" s="16" t="s">
        <v>1338</v>
      </c>
      <c r="O188" s="18" t="s">
        <v>1350</v>
      </c>
      <c r="P188" s="18" t="s">
        <v>1340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1077</v>
      </c>
      <c r="K189" s="18">
        <v>9743967</v>
      </c>
      <c r="L189" s="18">
        <v>847303</v>
      </c>
      <c r="M189" s="18" t="s">
        <v>1343</v>
      </c>
      <c r="N189" s="16" t="s">
        <v>1290</v>
      </c>
      <c r="O189" s="18" t="s">
        <v>1344</v>
      </c>
      <c r="P189" s="18" t="s">
        <v>1089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1077</v>
      </c>
      <c r="K190" s="18">
        <v>9743973</v>
      </c>
      <c r="L190" s="18">
        <v>847260</v>
      </c>
      <c r="M190" s="18" t="s">
        <v>1330</v>
      </c>
      <c r="N190" s="16" t="s">
        <v>1239</v>
      </c>
      <c r="O190" s="18" t="s">
        <v>1331</v>
      </c>
      <c r="P190" s="18" t="s">
        <v>1089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1196</v>
      </c>
      <c r="K191" s="18">
        <v>9744007</v>
      </c>
      <c r="L191" s="18">
        <v>847260</v>
      </c>
      <c r="M191" s="18" t="s">
        <v>1330</v>
      </c>
      <c r="N191" s="16" t="s">
        <v>1239</v>
      </c>
      <c r="O191" s="18" t="s">
        <v>1331</v>
      </c>
      <c r="P191" s="18" t="s">
        <v>1089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1254</v>
      </c>
      <c r="K192" s="18">
        <v>9737599</v>
      </c>
      <c r="L192" s="18">
        <v>846505</v>
      </c>
      <c r="M192" s="18" t="s">
        <v>1351</v>
      </c>
      <c r="N192" s="16" t="s">
        <v>1290</v>
      </c>
      <c r="O192" s="18" t="s">
        <v>1352</v>
      </c>
      <c r="P192" s="18" t="s">
        <v>1225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1196</v>
      </c>
      <c r="K193" s="18">
        <v>9743139</v>
      </c>
      <c r="L193" s="18">
        <v>849233</v>
      </c>
      <c r="M193" s="18" t="s">
        <v>1353</v>
      </c>
      <c r="N193" s="16" t="s">
        <v>1313</v>
      </c>
      <c r="O193" s="18" t="s">
        <v>1354</v>
      </c>
      <c r="P193" s="18" t="s">
        <v>1265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1196</v>
      </c>
      <c r="K194" s="18">
        <v>9743139</v>
      </c>
      <c r="L194" s="18">
        <v>849233</v>
      </c>
      <c r="M194" s="18" t="s">
        <v>1353</v>
      </c>
      <c r="N194" s="16" t="s">
        <v>1313</v>
      </c>
      <c r="O194" s="18" t="s">
        <v>1354</v>
      </c>
      <c r="P194" s="18" t="s">
        <v>1265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1262</v>
      </c>
      <c r="K195" s="18">
        <v>9747185</v>
      </c>
      <c r="L195" s="18">
        <v>846593</v>
      </c>
      <c r="M195" s="18" t="s">
        <v>1355</v>
      </c>
      <c r="N195" s="16" t="s">
        <v>1338</v>
      </c>
      <c r="O195" s="18" t="s">
        <v>1356</v>
      </c>
      <c r="P195" s="18" t="s">
        <v>1285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1196</v>
      </c>
      <c r="K196" s="18">
        <v>5018858</v>
      </c>
      <c r="L196" s="18">
        <v>841166</v>
      </c>
      <c r="M196" s="18" t="s">
        <v>1357</v>
      </c>
      <c r="N196" s="16" t="s">
        <v>1174</v>
      </c>
      <c r="O196" s="18" t="s">
        <v>1306</v>
      </c>
      <c r="P196" s="18" t="s">
        <v>1174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1196</v>
      </c>
      <c r="K197" s="18">
        <v>5018858</v>
      </c>
      <c r="L197" s="18">
        <v>841166</v>
      </c>
      <c r="M197" s="18" t="s">
        <v>1357</v>
      </c>
      <c r="N197" s="16" t="s">
        <v>1174</v>
      </c>
      <c r="O197" s="18" t="s">
        <v>1306</v>
      </c>
      <c r="P197" s="18" t="s">
        <v>1174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1082</v>
      </c>
      <c r="K198" s="18">
        <v>9737722</v>
      </c>
      <c r="L198" s="18">
        <v>846263</v>
      </c>
      <c r="M198" s="18" t="s">
        <v>1358</v>
      </c>
      <c r="N198" s="16" t="s">
        <v>1290</v>
      </c>
      <c r="O198" s="18" t="s">
        <v>1359</v>
      </c>
      <c r="P198" s="18" t="s">
        <v>1360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1082</v>
      </c>
      <c r="K199" s="18">
        <v>9737725</v>
      </c>
      <c r="L199" s="18">
        <v>846339</v>
      </c>
      <c r="M199" s="18" t="s">
        <v>1361</v>
      </c>
      <c r="N199" s="16" t="s">
        <v>1290</v>
      </c>
      <c r="O199" s="18" t="s">
        <v>1362</v>
      </c>
      <c r="P199" s="18" t="s">
        <v>1363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1196</v>
      </c>
      <c r="K200" s="18">
        <v>5018911</v>
      </c>
      <c r="L200" s="18">
        <v>844378</v>
      </c>
      <c r="M200" s="18" t="s">
        <v>1364</v>
      </c>
      <c r="N200" s="16" t="s">
        <v>1213</v>
      </c>
      <c r="O200" s="18" t="s">
        <v>1365</v>
      </c>
      <c r="P200" s="18" t="s">
        <v>1225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>
      <c r="A201" s="16">
        <v>46037</v>
      </c>
      <c r="B201" s="16">
        <v>46042</v>
      </c>
      <c r="C201" s="21" t="s">
        <v>1366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1367</v>
      </c>
      <c r="G201" s="22">
        <v>8877</v>
      </c>
      <c r="H201" s="22"/>
      <c r="I201" s="22">
        <f t="shared" si="4"/>
        <v>8877</v>
      </c>
      <c r="J201" s="18" t="s">
        <v>1120</v>
      </c>
      <c r="K201" s="18">
        <v>5018907</v>
      </c>
      <c r="L201" s="18">
        <v>844028</v>
      </c>
      <c r="M201" s="18" t="s">
        <v>1368</v>
      </c>
      <c r="N201" s="16" t="s">
        <v>1218</v>
      </c>
      <c r="O201" s="18" t="s">
        <v>1369</v>
      </c>
      <c r="P201" s="18" t="s">
        <v>1213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>
      <c r="A202" s="16">
        <v>46037</v>
      </c>
      <c r="B202" s="16">
        <v>46042</v>
      </c>
      <c r="C202" s="21" t="s">
        <v>1370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1102</v>
      </c>
      <c r="G202" s="22">
        <v>2092</v>
      </c>
      <c r="H202" s="22"/>
      <c r="I202" s="22">
        <f t="shared" si="4"/>
        <v>2092</v>
      </c>
      <c r="J202" s="18" t="s">
        <v>1120</v>
      </c>
      <c r="K202" s="18">
        <v>5018909</v>
      </c>
      <c r="L202" s="18">
        <v>844028</v>
      </c>
      <c r="M202" s="18" t="s">
        <v>1368</v>
      </c>
      <c r="N202" s="16" t="s">
        <v>1218</v>
      </c>
      <c r="O202" s="18" t="s">
        <v>1369</v>
      </c>
      <c r="P202" s="18" t="s">
        <v>1213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1196</v>
      </c>
      <c r="K203" s="18">
        <v>9737766</v>
      </c>
      <c r="L203" s="18">
        <v>847521</v>
      </c>
      <c r="M203" s="18" t="s">
        <v>1371</v>
      </c>
      <c r="N203" s="16" t="s">
        <v>1239</v>
      </c>
      <c r="O203" s="18" t="s">
        <v>1372</v>
      </c>
      <c r="P203" s="18" t="s">
        <v>1373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1196</v>
      </c>
      <c r="K204" s="18">
        <v>9737778</v>
      </c>
      <c r="L204" s="18">
        <v>841227</v>
      </c>
      <c r="M204" s="18" t="s">
        <v>1374</v>
      </c>
      <c r="N204" s="16" t="s">
        <v>1272</v>
      </c>
      <c r="O204" s="18" t="s">
        <v>1375</v>
      </c>
      <c r="P204" s="18" t="s">
        <v>1376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1120</v>
      </c>
      <c r="K205" s="18">
        <v>5018953</v>
      </c>
      <c r="L205" s="18">
        <v>844251</v>
      </c>
      <c r="M205" s="18" t="s">
        <v>1377</v>
      </c>
      <c r="N205" s="16" t="s">
        <v>1313</v>
      </c>
      <c r="O205" s="18" t="s">
        <v>1378</v>
      </c>
      <c r="P205" s="18" t="s">
        <v>1272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>
      <c r="A206" s="16">
        <v>46037</v>
      </c>
      <c r="B206" s="16">
        <v>46044</v>
      </c>
      <c r="C206" s="21" t="s">
        <v>1379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1120</v>
      </c>
      <c r="K206" s="18" t="s">
        <v>1380</v>
      </c>
      <c r="L206" s="18">
        <v>846603</v>
      </c>
      <c r="M206" s="18" t="s">
        <v>1381</v>
      </c>
      <c r="N206" s="16" t="s">
        <v>1290</v>
      </c>
      <c r="O206" s="18" t="s">
        <v>1382</v>
      </c>
      <c r="P206" s="18" t="s">
        <v>1265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1120</v>
      </c>
      <c r="K207" s="18">
        <v>9737687</v>
      </c>
      <c r="L207" s="18">
        <v>844660</v>
      </c>
      <c r="M207" s="18" t="s">
        <v>1383</v>
      </c>
      <c r="N207" s="16" t="s">
        <v>1213</v>
      </c>
      <c r="O207" s="18" t="s">
        <v>1384</v>
      </c>
      <c r="P207" s="18" t="s">
        <v>1219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1120</v>
      </c>
      <c r="K208" s="18">
        <v>9745881</v>
      </c>
      <c r="L208" s="18">
        <v>846390</v>
      </c>
      <c r="M208" s="18" t="s">
        <v>1385</v>
      </c>
      <c r="N208" s="16" t="s">
        <v>1313</v>
      </c>
      <c r="O208" s="18" t="s">
        <v>1386</v>
      </c>
      <c r="P208" s="18" t="s">
        <v>1265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1120</v>
      </c>
      <c r="K209" s="18">
        <v>9737683</v>
      </c>
      <c r="L209" s="18">
        <v>844830</v>
      </c>
      <c r="M209" s="18" t="s">
        <v>1387</v>
      </c>
      <c r="N209" s="16" t="s">
        <v>1213</v>
      </c>
      <c r="O209" s="18" t="s">
        <v>1388</v>
      </c>
      <c r="P209" s="18" t="s">
        <v>1219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1262</v>
      </c>
      <c r="K210" s="18">
        <v>9749717</v>
      </c>
      <c r="L210" s="18">
        <v>849444</v>
      </c>
      <c r="M210" s="18" t="s">
        <v>1389</v>
      </c>
      <c r="N210" s="16" t="s">
        <v>1313</v>
      </c>
      <c r="O210" s="18" t="s">
        <v>1390</v>
      </c>
      <c r="P210" s="18" t="s">
        <v>1265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1082</v>
      </c>
      <c r="K211" s="18">
        <v>9743132</v>
      </c>
      <c r="L211" s="18" t="s">
        <v>1092</v>
      </c>
      <c r="M211" s="18" t="s">
        <v>1092</v>
      </c>
      <c r="N211" s="16" t="s">
        <v>1092</v>
      </c>
      <c r="O211" s="18" t="s">
        <v>1092</v>
      </c>
      <c r="P211" s="18" t="s">
        <v>1092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1196</v>
      </c>
      <c r="K212" s="18">
        <v>5019007</v>
      </c>
      <c r="L212" s="18" t="s">
        <v>1092</v>
      </c>
      <c r="M212" s="18" t="s">
        <v>1092</v>
      </c>
      <c r="N212" s="16" t="s">
        <v>1092</v>
      </c>
      <c r="O212" s="18" t="s">
        <v>1092</v>
      </c>
      <c r="P212" s="18" t="s">
        <v>1092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1248</v>
      </c>
      <c r="K213" s="18">
        <v>5018904</v>
      </c>
      <c r="L213" s="18" t="s">
        <v>1092</v>
      </c>
      <c r="M213" s="18" t="s">
        <v>1092</v>
      </c>
      <c r="N213" s="16" t="s">
        <v>1092</v>
      </c>
      <c r="O213" s="18" t="s">
        <v>1092</v>
      </c>
      <c r="P213" s="18" t="s">
        <v>1092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1196</v>
      </c>
      <c r="K214" s="18">
        <v>5019009</v>
      </c>
      <c r="L214" s="18" t="s">
        <v>1092</v>
      </c>
      <c r="M214" s="18" t="s">
        <v>1092</v>
      </c>
      <c r="N214" s="16" t="s">
        <v>1092</v>
      </c>
      <c r="O214" s="18" t="s">
        <v>1092</v>
      </c>
      <c r="P214" s="18" t="s">
        <v>1092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1248</v>
      </c>
      <c r="K215" s="18">
        <v>5018904</v>
      </c>
      <c r="L215" s="18" t="s">
        <v>1092</v>
      </c>
      <c r="M215" s="18" t="s">
        <v>1092</v>
      </c>
      <c r="N215" s="16" t="s">
        <v>1092</v>
      </c>
      <c r="O215" s="18" t="s">
        <v>1092</v>
      </c>
      <c r="P215" s="18" t="s">
        <v>1092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1196</v>
      </c>
      <c r="K216" s="18">
        <v>5019008</v>
      </c>
      <c r="L216" s="18" t="s">
        <v>1092</v>
      </c>
      <c r="M216" s="18" t="s">
        <v>1092</v>
      </c>
      <c r="N216" s="16" t="s">
        <v>1092</v>
      </c>
      <c r="O216" s="18" t="s">
        <v>1092</v>
      </c>
      <c r="P216" s="18" t="s">
        <v>1092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1082</v>
      </c>
      <c r="K217" s="18">
        <v>9737606</v>
      </c>
      <c r="L217" s="18">
        <v>846076</v>
      </c>
      <c r="M217" s="18" t="s">
        <v>1391</v>
      </c>
      <c r="N217" s="16" t="s">
        <v>1224</v>
      </c>
      <c r="O217" s="18" t="s">
        <v>1392</v>
      </c>
      <c r="P217" s="18" t="s">
        <v>1225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1262</v>
      </c>
      <c r="K218" s="18">
        <v>9743858</v>
      </c>
      <c r="L218" s="18">
        <v>848536</v>
      </c>
      <c r="M218" s="18" t="s">
        <v>1393</v>
      </c>
      <c r="N218" s="16" t="s">
        <v>1313</v>
      </c>
      <c r="O218" s="18" t="s">
        <v>1394</v>
      </c>
      <c r="P218" s="18" t="s">
        <v>1395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1082</v>
      </c>
      <c r="K219" s="18">
        <v>9737607</v>
      </c>
      <c r="L219" s="18">
        <v>845245</v>
      </c>
      <c r="M219" s="18" t="s">
        <v>1396</v>
      </c>
      <c r="N219" s="16" t="s">
        <v>1213</v>
      </c>
      <c r="O219" s="18" t="s">
        <v>1397</v>
      </c>
      <c r="P219" s="18" t="s">
        <v>1225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1082</v>
      </c>
      <c r="K220" s="18">
        <v>9737609</v>
      </c>
      <c r="L220" s="18">
        <v>845226</v>
      </c>
      <c r="M220" s="18" t="s">
        <v>1398</v>
      </c>
      <c r="N220" s="16" t="s">
        <v>1213</v>
      </c>
      <c r="O220" s="18" t="s">
        <v>1399</v>
      </c>
      <c r="P220" s="18" t="s">
        <v>1225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1077</v>
      </c>
      <c r="K221" s="18">
        <v>9737721</v>
      </c>
      <c r="L221" s="18">
        <v>844631</v>
      </c>
      <c r="M221" s="18" t="s">
        <v>1400</v>
      </c>
      <c r="N221" s="16" t="s">
        <v>1213</v>
      </c>
      <c r="O221" s="18" t="s">
        <v>1401</v>
      </c>
      <c r="P221" s="18" t="s">
        <v>1402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1094</v>
      </c>
      <c r="K222" s="18">
        <v>9743861</v>
      </c>
      <c r="L222" s="18">
        <v>846585</v>
      </c>
      <c r="M222" s="18" t="s">
        <v>1403</v>
      </c>
      <c r="N222" s="16" t="s">
        <v>1290</v>
      </c>
      <c r="O222" s="18" t="s">
        <v>1404</v>
      </c>
      <c r="P222" s="18" t="s">
        <v>1239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1131</v>
      </c>
      <c r="G223" s="22">
        <v>6800</v>
      </c>
      <c r="H223" s="22"/>
      <c r="I223" s="22">
        <f t="shared" si="4"/>
        <v>6800</v>
      </c>
      <c r="J223" s="18" t="s">
        <v>1254</v>
      </c>
      <c r="K223" s="18">
        <v>9737601</v>
      </c>
      <c r="L223" s="18">
        <v>843974</v>
      </c>
      <c r="M223" s="18" t="s">
        <v>1405</v>
      </c>
      <c r="N223" s="16" t="s">
        <v>1218</v>
      </c>
      <c r="O223" s="18" t="s">
        <v>1406</v>
      </c>
      <c r="P223" s="18" t="s">
        <v>1213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1077</v>
      </c>
      <c r="K224" s="18">
        <v>9737680</v>
      </c>
      <c r="L224" s="18">
        <v>845956</v>
      </c>
      <c r="M224" s="18" t="s">
        <v>1407</v>
      </c>
      <c r="N224" s="16" t="s">
        <v>1224</v>
      </c>
      <c r="O224" s="18" t="s">
        <v>1408</v>
      </c>
      <c r="P224" s="18" t="s">
        <v>1409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1196</v>
      </c>
      <c r="K225" s="18"/>
      <c r="L225" s="18" t="s">
        <v>1092</v>
      </c>
      <c r="M225" s="18" t="s">
        <v>1092</v>
      </c>
      <c r="N225" s="16" t="s">
        <v>1092</v>
      </c>
      <c r="O225" s="18" t="s">
        <v>1092</v>
      </c>
      <c r="P225" s="18" t="s">
        <v>1092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1196</v>
      </c>
      <c r="K226" s="18">
        <v>5018855</v>
      </c>
      <c r="L226" s="18" t="s">
        <v>1092</v>
      </c>
      <c r="M226" s="18" t="s">
        <v>1092</v>
      </c>
      <c r="N226" s="16" t="s">
        <v>1092</v>
      </c>
      <c r="O226" s="18" t="s">
        <v>1092</v>
      </c>
      <c r="P226" s="18" t="s">
        <v>1092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1196</v>
      </c>
      <c r="K227" s="18">
        <v>9742899</v>
      </c>
      <c r="L227" s="18">
        <v>847438</v>
      </c>
      <c r="M227" s="18" t="s">
        <v>1410</v>
      </c>
      <c r="N227" s="16" t="s">
        <v>1290</v>
      </c>
      <c r="O227" s="18" t="s">
        <v>1333</v>
      </c>
      <c r="P227" s="18" t="s">
        <v>1239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1110</v>
      </c>
      <c r="K228" s="18">
        <v>9742948</v>
      </c>
      <c r="L228" s="18">
        <v>847438</v>
      </c>
      <c r="M228" s="18" t="s">
        <v>1410</v>
      </c>
      <c r="N228" s="16" t="s">
        <v>1290</v>
      </c>
      <c r="O228" s="18" t="s">
        <v>1333</v>
      </c>
      <c r="P228" s="18" t="s">
        <v>1239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1110</v>
      </c>
      <c r="K229" s="18">
        <v>9742953</v>
      </c>
      <c r="L229" s="18">
        <v>847438</v>
      </c>
      <c r="M229" s="18" t="s">
        <v>1410</v>
      </c>
      <c r="N229" s="16" t="s">
        <v>1290</v>
      </c>
      <c r="O229" s="18" t="s">
        <v>1333</v>
      </c>
      <c r="P229" s="18" t="s">
        <v>1239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1110</v>
      </c>
      <c r="K230" s="18">
        <v>9743041</v>
      </c>
      <c r="L230" s="18">
        <v>847438</v>
      </c>
      <c r="M230" s="18" t="s">
        <v>1410</v>
      </c>
      <c r="N230" s="16" t="s">
        <v>1290</v>
      </c>
      <c r="O230" s="18" t="s">
        <v>1333</v>
      </c>
      <c r="P230" s="18" t="s">
        <v>1239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1196</v>
      </c>
      <c r="K231" s="18" t="s">
        <v>1411</v>
      </c>
      <c r="L231" s="18">
        <v>847438</v>
      </c>
      <c r="M231" s="18" t="s">
        <v>1410</v>
      </c>
      <c r="N231" s="16" t="s">
        <v>1290</v>
      </c>
      <c r="O231" s="18" t="s">
        <v>1333</v>
      </c>
      <c r="P231" s="18" t="s">
        <v>1239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1110</v>
      </c>
      <c r="K232" s="18">
        <v>9742958</v>
      </c>
      <c r="L232" s="18">
        <v>847438</v>
      </c>
      <c r="M232" s="18" t="s">
        <v>1410</v>
      </c>
      <c r="N232" s="16" t="s">
        <v>1290</v>
      </c>
      <c r="O232" s="18" t="s">
        <v>1333</v>
      </c>
      <c r="P232" s="18" t="s">
        <v>1239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>
      <c r="A233" s="16">
        <v>46037</v>
      </c>
      <c r="B233" s="16">
        <v>46045</v>
      </c>
      <c r="C233" s="21" t="s">
        <v>1412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1110</v>
      </c>
      <c r="K233" s="18" t="s">
        <v>1413</v>
      </c>
      <c r="L233" s="18">
        <v>847438</v>
      </c>
      <c r="M233" s="18" t="s">
        <v>1410</v>
      </c>
      <c r="N233" s="16" t="s">
        <v>1290</v>
      </c>
      <c r="O233" s="18" t="s">
        <v>1333</v>
      </c>
      <c r="P233" s="18" t="s">
        <v>1239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1082</v>
      </c>
      <c r="K234" s="18">
        <v>9743059</v>
      </c>
      <c r="L234" s="18">
        <v>849080</v>
      </c>
      <c r="M234" s="18" t="s">
        <v>1414</v>
      </c>
      <c r="N234" s="16" t="s">
        <v>1415</v>
      </c>
      <c r="O234" s="18" t="s">
        <v>1416</v>
      </c>
      <c r="P234" s="18" t="s">
        <v>1417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1082</v>
      </c>
      <c r="K235" s="18">
        <v>9743057</v>
      </c>
      <c r="L235" s="18" t="s">
        <v>1092</v>
      </c>
      <c r="M235" s="18" t="s">
        <v>1092</v>
      </c>
      <c r="N235" s="16" t="s">
        <v>1092</v>
      </c>
      <c r="O235" s="18" t="s">
        <v>1092</v>
      </c>
      <c r="P235" s="18" t="s">
        <v>1092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1082</v>
      </c>
      <c r="K236" s="18">
        <v>9743121</v>
      </c>
      <c r="L236" s="18">
        <v>849309</v>
      </c>
      <c r="M236" s="18" t="s">
        <v>1418</v>
      </c>
      <c r="N236" s="16" t="s">
        <v>1313</v>
      </c>
      <c r="O236" s="18" t="s">
        <v>1419</v>
      </c>
      <c r="P236" s="18" t="s">
        <v>1336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>
      <c r="A237" s="16">
        <v>46037</v>
      </c>
      <c r="B237" s="16">
        <v>46048</v>
      </c>
      <c r="C237" s="21" t="s">
        <v>1420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1082</v>
      </c>
      <c r="K237" s="18">
        <v>9744111</v>
      </c>
      <c r="L237" s="18">
        <v>848941</v>
      </c>
      <c r="M237" s="18" t="s">
        <v>1421</v>
      </c>
      <c r="N237" s="16" t="s">
        <v>1313</v>
      </c>
      <c r="O237" s="18" t="s">
        <v>1422</v>
      </c>
      <c r="P237" s="18" t="s">
        <v>1091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1082</v>
      </c>
      <c r="K238" s="18">
        <v>9743056</v>
      </c>
      <c r="L238" s="18">
        <v>850963</v>
      </c>
      <c r="M238" s="18" t="s">
        <v>1423</v>
      </c>
      <c r="N238" s="16" t="s">
        <v>1424</v>
      </c>
      <c r="O238" s="18" t="s">
        <v>1425</v>
      </c>
      <c r="P238" s="18" t="s">
        <v>1091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1196</v>
      </c>
      <c r="K239" s="18">
        <v>5018902</v>
      </c>
      <c r="L239" s="18">
        <v>845359</v>
      </c>
      <c r="M239" s="18" t="s">
        <v>1426</v>
      </c>
      <c r="N239" s="16" t="s">
        <v>1224</v>
      </c>
      <c r="O239" s="18" t="s">
        <v>1369</v>
      </c>
      <c r="P239" s="18" t="s">
        <v>1290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1196</v>
      </c>
      <c r="K240" s="18">
        <v>5018900</v>
      </c>
      <c r="L240" s="18">
        <v>844293</v>
      </c>
      <c r="M240" s="18" t="s">
        <v>1427</v>
      </c>
      <c r="N240" s="16" t="s">
        <v>1224</v>
      </c>
      <c r="O240" s="18" t="s">
        <v>1331</v>
      </c>
      <c r="P240" s="18" t="s">
        <v>1290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1196</v>
      </c>
      <c r="K241" s="18">
        <v>5018903</v>
      </c>
      <c r="L241" s="18">
        <v>845359</v>
      </c>
      <c r="M241" s="18" t="s">
        <v>1426</v>
      </c>
      <c r="N241" s="16" t="s">
        <v>1224</v>
      </c>
      <c r="O241" s="18" t="s">
        <v>1369</v>
      </c>
      <c r="P241" s="18" t="s">
        <v>1290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>
      <c r="A242" s="16">
        <v>46037</v>
      </c>
      <c r="B242" s="16">
        <v>46042</v>
      </c>
      <c r="C242" s="21" t="s">
        <v>1428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1097</v>
      </c>
      <c r="G242" s="22">
        <v>10196</v>
      </c>
      <c r="H242" s="22"/>
      <c r="I242" s="22">
        <f t="shared" si="4"/>
        <v>10196</v>
      </c>
      <c r="J242" s="18" t="s">
        <v>1110</v>
      </c>
      <c r="K242" s="18">
        <v>5018908</v>
      </c>
      <c r="L242" s="18">
        <v>843044</v>
      </c>
      <c r="M242" s="18" t="s">
        <v>1429</v>
      </c>
      <c r="N242" s="16" t="s">
        <v>1218</v>
      </c>
      <c r="O242" s="18" t="s">
        <v>1300</v>
      </c>
      <c r="P242" s="18" t="s">
        <v>1430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>
      <c r="A243" s="16">
        <v>46037</v>
      </c>
      <c r="B243" s="16">
        <v>46042</v>
      </c>
      <c r="C243" s="21" t="s">
        <v>1431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1102</v>
      </c>
      <c r="G243" s="22">
        <v>7076</v>
      </c>
      <c r="H243" s="22"/>
      <c r="I243" s="22">
        <f t="shared" si="4"/>
        <v>7076</v>
      </c>
      <c r="J243" s="18" t="s">
        <v>1110</v>
      </c>
      <c r="K243" s="18">
        <v>5018905</v>
      </c>
      <c r="L243" s="18">
        <v>843044</v>
      </c>
      <c r="M243" s="18" t="s">
        <v>1429</v>
      </c>
      <c r="N243" s="16" t="s">
        <v>1218</v>
      </c>
      <c r="O243" s="18" t="s">
        <v>1300</v>
      </c>
      <c r="P243" s="18" t="s">
        <v>1430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1196</v>
      </c>
      <c r="K244" s="18">
        <v>9738672</v>
      </c>
      <c r="L244" s="18">
        <v>841252</v>
      </c>
      <c r="M244" s="18" t="s">
        <v>1432</v>
      </c>
      <c r="N244" s="16" t="s">
        <v>1176</v>
      </c>
      <c r="O244" s="18" t="s">
        <v>1300</v>
      </c>
      <c r="P244" s="18" t="s">
        <v>1174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1131</v>
      </c>
      <c r="G245" s="22">
        <v>6560</v>
      </c>
      <c r="H245" s="22"/>
      <c r="I245" s="22">
        <f t="shared" si="4"/>
        <v>6560</v>
      </c>
      <c r="J245" s="18" t="s">
        <v>1248</v>
      </c>
      <c r="K245" s="18">
        <v>9736414</v>
      </c>
      <c r="L245" s="18">
        <v>838824</v>
      </c>
      <c r="M245" s="18" t="s">
        <v>1433</v>
      </c>
      <c r="N245" s="16" t="s">
        <v>1218</v>
      </c>
      <c r="O245" s="18" t="s">
        <v>1434</v>
      </c>
      <c r="P245" s="18" t="s">
        <v>1435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1131</v>
      </c>
      <c r="G246" s="22"/>
      <c r="H246" s="22">
        <v>2563.6</v>
      </c>
      <c r="I246" s="22">
        <f t="shared" si="4"/>
        <v>2563.6</v>
      </c>
      <c r="J246" s="18" t="s">
        <v>1248</v>
      </c>
      <c r="K246" s="18">
        <v>9736414</v>
      </c>
      <c r="L246" s="18">
        <v>838824</v>
      </c>
      <c r="M246" s="18" t="s">
        <v>1433</v>
      </c>
      <c r="N246" s="16" t="s">
        <v>1218</v>
      </c>
      <c r="O246" s="18" t="s">
        <v>1434</v>
      </c>
      <c r="P246" s="18" t="s">
        <v>1435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1196</v>
      </c>
      <c r="K247" s="18">
        <v>9741639</v>
      </c>
      <c r="L247" s="18">
        <v>841271</v>
      </c>
      <c r="M247" s="18" t="s">
        <v>1436</v>
      </c>
      <c r="N247" s="16" t="s">
        <v>1218</v>
      </c>
      <c r="O247" s="18" t="s">
        <v>1437</v>
      </c>
      <c r="P247" s="18" t="s">
        <v>1218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>
      <c r="A248" s="16">
        <v>46042</v>
      </c>
      <c r="B248" s="16">
        <v>46042</v>
      </c>
      <c r="C248" s="21" t="s">
        <v>1438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1248</v>
      </c>
      <c r="K248" s="18" t="s">
        <v>1439</v>
      </c>
      <c r="L248" s="18" t="s">
        <v>1092</v>
      </c>
      <c r="M248" s="18" t="s">
        <v>1092</v>
      </c>
      <c r="N248" s="16" t="s">
        <v>1092</v>
      </c>
      <c r="O248" s="18" t="s">
        <v>1092</v>
      </c>
      <c r="P248" s="18" t="s">
        <v>1092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>
      <c r="A249" s="16">
        <v>46042</v>
      </c>
      <c r="B249" s="16">
        <v>46042</v>
      </c>
      <c r="C249" s="21" t="s">
        <v>1440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1248</v>
      </c>
      <c r="K249" s="18" t="s">
        <v>1441</v>
      </c>
      <c r="L249" s="18" t="s">
        <v>1092</v>
      </c>
      <c r="M249" s="18" t="s">
        <v>1092</v>
      </c>
      <c r="N249" s="16" t="s">
        <v>1092</v>
      </c>
      <c r="O249" s="18" t="s">
        <v>1092</v>
      </c>
      <c r="P249" s="18" t="s">
        <v>1092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1196</v>
      </c>
      <c r="K250" s="18">
        <v>5018986</v>
      </c>
      <c r="L250" s="18">
        <v>844285</v>
      </c>
      <c r="M250" s="18" t="s">
        <v>1442</v>
      </c>
      <c r="N250" s="16" t="s">
        <v>1213</v>
      </c>
      <c r="O250" s="18" t="s">
        <v>1344</v>
      </c>
      <c r="P250" s="18" t="s">
        <v>1239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>
      <c r="A251" s="16">
        <v>46042</v>
      </c>
      <c r="B251" s="16">
        <v>46042</v>
      </c>
      <c r="C251" s="21" t="s">
        <v>1443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1196</v>
      </c>
      <c r="K251" s="18" t="s">
        <v>1444</v>
      </c>
      <c r="L251" s="18">
        <v>844293</v>
      </c>
      <c r="M251" s="18" t="s">
        <v>1427</v>
      </c>
      <c r="N251" s="16" t="s">
        <v>1224</v>
      </c>
      <c r="O251" s="18" t="s">
        <v>1331</v>
      </c>
      <c r="P251" s="18" t="s">
        <v>1290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>
      <c r="A252" s="16">
        <v>46042</v>
      </c>
      <c r="B252" s="16">
        <v>46043</v>
      </c>
      <c r="C252" s="21" t="s">
        <v>1445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1196</v>
      </c>
      <c r="K252" s="18" t="s">
        <v>1446</v>
      </c>
      <c r="L252" s="18">
        <v>845359</v>
      </c>
      <c r="M252" s="18" t="s">
        <v>1426</v>
      </c>
      <c r="N252" s="16" t="s">
        <v>1224</v>
      </c>
      <c r="O252" s="18" t="s">
        <v>1369</v>
      </c>
      <c r="P252" s="18" t="s">
        <v>1290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>
      <c r="A253" s="16">
        <v>46042</v>
      </c>
      <c r="B253" s="16">
        <v>46042</v>
      </c>
      <c r="C253" s="21" t="s">
        <v>1447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1196</v>
      </c>
      <c r="K253" s="18" t="s">
        <v>1448</v>
      </c>
      <c r="L253" s="18">
        <v>844293</v>
      </c>
      <c r="M253" s="18" t="s">
        <v>1427</v>
      </c>
      <c r="N253" s="16" t="s">
        <v>1224</v>
      </c>
      <c r="O253" s="18" t="s">
        <v>1331</v>
      </c>
      <c r="P253" s="18" t="s">
        <v>1290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>
      <c r="A254" s="16">
        <v>46043</v>
      </c>
      <c r="B254" s="16">
        <v>46050</v>
      </c>
      <c r="C254" s="21" t="s">
        <v>1449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1120</v>
      </c>
      <c r="K254" s="18" t="s">
        <v>1450</v>
      </c>
      <c r="L254" s="18">
        <v>850993</v>
      </c>
      <c r="M254" s="18" t="s">
        <v>1451</v>
      </c>
      <c r="N254" s="16" t="s">
        <v>1264</v>
      </c>
      <c r="O254" s="18" t="s">
        <v>1452</v>
      </c>
      <c r="P254" s="18" t="s">
        <v>1285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1120</v>
      </c>
      <c r="K255" s="18">
        <v>9746350</v>
      </c>
      <c r="L255" s="18">
        <v>850115</v>
      </c>
      <c r="M255" s="18" t="s">
        <v>1453</v>
      </c>
      <c r="N255" s="16" t="s">
        <v>1424</v>
      </c>
      <c r="O255" s="18" t="s">
        <v>1255</v>
      </c>
      <c r="P255" s="18" t="s">
        <v>1272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1120</v>
      </c>
      <c r="K256" s="18">
        <v>9746350</v>
      </c>
      <c r="L256" s="18">
        <v>850115</v>
      </c>
      <c r="M256" s="18" t="s">
        <v>1453</v>
      </c>
      <c r="N256" s="16" t="s">
        <v>1424</v>
      </c>
      <c r="O256" s="18" t="s">
        <v>1255</v>
      </c>
      <c r="P256" s="18" t="s">
        <v>1272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1120</v>
      </c>
      <c r="K257" s="18">
        <v>9746344</v>
      </c>
      <c r="L257" s="18">
        <v>850115</v>
      </c>
      <c r="M257" s="18" t="s">
        <v>1453</v>
      </c>
      <c r="N257" s="16" t="s">
        <v>1424</v>
      </c>
      <c r="O257" s="18" t="s">
        <v>1255</v>
      </c>
      <c r="P257" s="18" t="s">
        <v>1272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1120</v>
      </c>
      <c r="K258" s="18">
        <v>9751428</v>
      </c>
      <c r="L258" s="18">
        <v>851117</v>
      </c>
      <c r="M258" s="18" t="s">
        <v>1454</v>
      </c>
      <c r="N258" s="16" t="s">
        <v>1264</v>
      </c>
      <c r="O258" s="18" t="s">
        <v>1299</v>
      </c>
      <c r="P258" s="18" t="s">
        <v>1272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1120</v>
      </c>
      <c r="K259" s="18">
        <v>9751422</v>
      </c>
      <c r="L259" s="18">
        <v>851117</v>
      </c>
      <c r="M259" s="18" t="s">
        <v>1454</v>
      </c>
      <c r="N259" s="16" t="s">
        <v>1264</v>
      </c>
      <c r="O259" s="18" t="s">
        <v>1299</v>
      </c>
      <c r="P259" s="18" t="s">
        <v>1272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1131</v>
      </c>
      <c r="G260" s="22">
        <v>900</v>
      </c>
      <c r="H260" s="22"/>
      <c r="I260" s="22">
        <f t="shared" si="5"/>
        <v>900</v>
      </c>
      <c r="J260" s="18" t="s">
        <v>1082</v>
      </c>
      <c r="K260" s="18">
        <v>5018978</v>
      </c>
      <c r="L260" s="18" t="s">
        <v>1092</v>
      </c>
      <c r="M260" s="18" t="s">
        <v>1092</v>
      </c>
      <c r="N260" s="16" t="s">
        <v>1092</v>
      </c>
      <c r="O260" s="18" t="s">
        <v>1092</v>
      </c>
      <c r="P260" s="18" t="s">
        <v>1092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1082</v>
      </c>
      <c r="K261" s="18">
        <v>9736168</v>
      </c>
      <c r="L261" s="18">
        <v>859499</v>
      </c>
      <c r="M261" s="18" t="s">
        <v>1455</v>
      </c>
      <c r="N261" s="16" t="s">
        <v>1456</v>
      </c>
      <c r="O261" s="18" t="s">
        <v>1457</v>
      </c>
      <c r="P261" s="18" t="s">
        <v>1458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1082</v>
      </c>
      <c r="K262" s="18">
        <v>9736113</v>
      </c>
      <c r="L262" s="18">
        <v>859461</v>
      </c>
      <c r="M262" s="18" t="s">
        <v>1459</v>
      </c>
      <c r="N262" s="16" t="s">
        <v>1460</v>
      </c>
      <c r="O262" s="18" t="s">
        <v>1461</v>
      </c>
      <c r="P262" s="18" t="s">
        <v>1462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1082</v>
      </c>
      <c r="K263" s="18">
        <v>9736109</v>
      </c>
      <c r="L263" s="18">
        <v>855460</v>
      </c>
      <c r="M263" s="18" t="s">
        <v>1463</v>
      </c>
      <c r="N263" s="16" t="s">
        <v>1415</v>
      </c>
      <c r="O263" s="18" t="s">
        <v>1464</v>
      </c>
      <c r="P263" s="18" t="s">
        <v>1465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1082</v>
      </c>
      <c r="K264" s="18">
        <v>9736119</v>
      </c>
      <c r="L264" s="18" t="s">
        <v>1092</v>
      </c>
      <c r="M264" s="18" t="s">
        <v>1092</v>
      </c>
      <c r="N264" s="16" t="s">
        <v>1092</v>
      </c>
      <c r="O264" s="18" t="s">
        <v>1092</v>
      </c>
      <c r="P264" s="18" t="s">
        <v>1092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1077</v>
      </c>
      <c r="K265" s="18">
        <v>9746476</v>
      </c>
      <c r="L265" s="18">
        <v>850965</v>
      </c>
      <c r="M265" s="18" t="s">
        <v>1466</v>
      </c>
      <c r="N265" s="16" t="s">
        <v>1424</v>
      </c>
      <c r="O265" s="18" t="s">
        <v>1467</v>
      </c>
      <c r="P265" s="18" t="s">
        <v>1091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1077</v>
      </c>
      <c r="K266" s="18">
        <v>9746476</v>
      </c>
      <c r="L266" s="18">
        <v>850965</v>
      </c>
      <c r="M266" s="18" t="s">
        <v>1466</v>
      </c>
      <c r="N266" s="16" t="s">
        <v>1424</v>
      </c>
      <c r="O266" s="18" t="s">
        <v>1467</v>
      </c>
      <c r="P266" s="18" t="s">
        <v>1091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1196</v>
      </c>
      <c r="K267" s="18">
        <v>9751065</v>
      </c>
      <c r="L267" s="18">
        <v>851046</v>
      </c>
      <c r="M267" s="18" t="s">
        <v>1468</v>
      </c>
      <c r="N267" s="16" t="s">
        <v>1264</v>
      </c>
      <c r="O267" s="18" t="s">
        <v>1308</v>
      </c>
      <c r="P267" s="18" t="s">
        <v>1272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1196</v>
      </c>
      <c r="K268" s="18">
        <v>9751068</v>
      </c>
      <c r="L268" s="18">
        <v>851046</v>
      </c>
      <c r="M268" s="18" t="s">
        <v>1468</v>
      </c>
      <c r="N268" s="16" t="s">
        <v>1264</v>
      </c>
      <c r="O268" s="18" t="s">
        <v>1308</v>
      </c>
      <c r="P268" s="18" t="s">
        <v>1272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>
      <c r="A269" s="16">
        <v>46043</v>
      </c>
      <c r="B269" s="16">
        <v>46050</v>
      </c>
      <c r="C269" s="21" t="s">
        <v>1469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1196</v>
      </c>
      <c r="K269" s="18" t="s">
        <v>1470</v>
      </c>
      <c r="L269" s="18">
        <v>851046</v>
      </c>
      <c r="M269" s="18" t="s">
        <v>1468</v>
      </c>
      <c r="N269" s="16" t="s">
        <v>1264</v>
      </c>
      <c r="O269" s="18" t="s">
        <v>1308</v>
      </c>
      <c r="P269" s="18" t="s">
        <v>1272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1196</v>
      </c>
      <c r="K270" s="18">
        <v>9751032</v>
      </c>
      <c r="L270" s="18">
        <v>851046</v>
      </c>
      <c r="M270" s="18" t="s">
        <v>1468</v>
      </c>
      <c r="N270" s="16" t="s">
        <v>1264</v>
      </c>
      <c r="O270" s="18" t="s">
        <v>1308</v>
      </c>
      <c r="P270" s="18" t="s">
        <v>1272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1082</v>
      </c>
      <c r="K271" s="18">
        <v>9753536</v>
      </c>
      <c r="L271" s="18">
        <v>852738</v>
      </c>
      <c r="M271" s="18" t="s">
        <v>1471</v>
      </c>
      <c r="N271" s="16" t="s">
        <v>1264</v>
      </c>
      <c r="O271" s="18" t="s">
        <v>1472</v>
      </c>
      <c r="P271" s="18" t="s">
        <v>1395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1082</v>
      </c>
      <c r="K272" s="18">
        <v>9753535</v>
      </c>
      <c r="L272" s="18">
        <v>852721</v>
      </c>
      <c r="M272" s="18" t="s">
        <v>1473</v>
      </c>
      <c r="N272" s="16" t="s">
        <v>1281</v>
      </c>
      <c r="O272" s="18" t="s">
        <v>1474</v>
      </c>
      <c r="P272" s="18" t="s">
        <v>1395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1082</v>
      </c>
      <c r="K273" s="18">
        <v>9746354</v>
      </c>
      <c r="L273" s="18">
        <v>850900</v>
      </c>
      <c r="M273" s="18" t="s">
        <v>1475</v>
      </c>
      <c r="N273" s="16" t="s">
        <v>1424</v>
      </c>
      <c r="O273" s="18" t="s">
        <v>1476</v>
      </c>
      <c r="P273" s="18" t="s">
        <v>1477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>
      <c r="A274" s="16">
        <v>46043</v>
      </c>
      <c r="B274" s="16">
        <v>46049</v>
      </c>
      <c r="C274" s="21" t="s">
        <v>1478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1131</v>
      </c>
      <c r="G274" s="22">
        <v>5000</v>
      </c>
      <c r="H274" s="22">
        <v>8726</v>
      </c>
      <c r="I274" s="22">
        <f t="shared" si="5"/>
        <v>13726</v>
      </c>
      <c r="J274" s="18" t="s">
        <v>1479</v>
      </c>
      <c r="K274" s="18" t="s">
        <v>1480</v>
      </c>
      <c r="L274" s="18">
        <v>849049</v>
      </c>
      <c r="M274" s="18" t="s">
        <v>1481</v>
      </c>
      <c r="N274" s="16" t="s">
        <v>1313</v>
      </c>
      <c r="O274" s="18" t="s">
        <v>1482</v>
      </c>
      <c r="P274" s="18" t="s">
        <v>1483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1196</v>
      </c>
      <c r="K275" s="18">
        <v>9746182</v>
      </c>
      <c r="L275" s="18">
        <v>854992</v>
      </c>
      <c r="M275" s="18" t="s">
        <v>1484</v>
      </c>
      <c r="N275" s="16" t="s">
        <v>1415</v>
      </c>
      <c r="O275" s="18" t="s">
        <v>1485</v>
      </c>
      <c r="P275" s="18" t="s">
        <v>1486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1082</v>
      </c>
      <c r="K276" s="18">
        <v>9746266</v>
      </c>
      <c r="L276" s="18">
        <v>855633</v>
      </c>
      <c r="M276" s="18" t="s">
        <v>1487</v>
      </c>
      <c r="N276" s="16" t="s">
        <v>1415</v>
      </c>
      <c r="O276" s="18" t="s">
        <v>1488</v>
      </c>
      <c r="P276" s="18" t="s">
        <v>1489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1082</v>
      </c>
      <c r="K277" s="18">
        <v>9746266</v>
      </c>
      <c r="L277" s="18">
        <v>855633</v>
      </c>
      <c r="M277" s="18" t="s">
        <v>1490</v>
      </c>
      <c r="N277" s="16" t="s">
        <v>1415</v>
      </c>
      <c r="O277" s="18" t="s">
        <v>1491</v>
      </c>
      <c r="P277" s="18" t="s">
        <v>1492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1120</v>
      </c>
      <c r="K278" s="18">
        <v>9746272</v>
      </c>
      <c r="L278" s="18">
        <v>850792</v>
      </c>
      <c r="M278" s="18" t="s">
        <v>1493</v>
      </c>
      <c r="N278" s="16" t="s">
        <v>1424</v>
      </c>
      <c r="O278" s="18" t="s">
        <v>1494</v>
      </c>
      <c r="P278" s="18" t="s">
        <v>1495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1110</v>
      </c>
      <c r="K279" s="18">
        <v>9746399</v>
      </c>
      <c r="L279" s="18">
        <v>855383</v>
      </c>
      <c r="M279" s="18" t="s">
        <v>1496</v>
      </c>
      <c r="N279" s="16" t="s">
        <v>1415</v>
      </c>
      <c r="O279" s="18" t="s">
        <v>1497</v>
      </c>
      <c r="P279" s="18" t="s">
        <v>1498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1077</v>
      </c>
      <c r="K280" s="18">
        <v>9746394</v>
      </c>
      <c r="L280" s="18">
        <v>850679</v>
      </c>
      <c r="M280" s="18" t="s">
        <v>1499</v>
      </c>
      <c r="N280" s="16" t="s">
        <v>1424</v>
      </c>
      <c r="O280" s="18" t="s">
        <v>1500</v>
      </c>
      <c r="P280" s="18" t="s">
        <v>1265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1196</v>
      </c>
      <c r="K281" s="18">
        <v>5018979</v>
      </c>
      <c r="L281" s="18">
        <v>855443</v>
      </c>
      <c r="M281" s="18" t="s">
        <v>1501</v>
      </c>
      <c r="N281" s="16" t="s">
        <v>1415</v>
      </c>
      <c r="O281" s="18" t="s">
        <v>1502</v>
      </c>
      <c r="P281" s="18" t="s">
        <v>1486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1082</v>
      </c>
      <c r="K282" s="18">
        <v>9746270</v>
      </c>
      <c r="L282" s="18">
        <v>850680</v>
      </c>
      <c r="M282" s="18" t="s">
        <v>1503</v>
      </c>
      <c r="N282" s="16" t="s">
        <v>1504</v>
      </c>
      <c r="O282" s="18" t="s">
        <v>1505</v>
      </c>
      <c r="P282" s="18" t="s">
        <v>1265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1082</v>
      </c>
      <c r="K283" s="18">
        <v>9746270</v>
      </c>
      <c r="L283" s="18">
        <v>850680</v>
      </c>
      <c r="M283" s="18" t="s">
        <v>1503</v>
      </c>
      <c r="N283" s="16" t="s">
        <v>1504</v>
      </c>
      <c r="O283" s="18" t="s">
        <v>1505</v>
      </c>
      <c r="P283" s="18" t="s">
        <v>1265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1077</v>
      </c>
      <c r="K284" s="18">
        <v>9746394</v>
      </c>
      <c r="L284" s="18">
        <v>850679</v>
      </c>
      <c r="M284" s="18" t="s">
        <v>1499</v>
      </c>
      <c r="N284" s="16" t="s">
        <v>1424</v>
      </c>
      <c r="O284" s="18" t="s">
        <v>1500</v>
      </c>
      <c r="P284" s="18" t="s">
        <v>1265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1110</v>
      </c>
      <c r="K285" s="18">
        <v>9746461</v>
      </c>
      <c r="L285" s="18">
        <v>855367</v>
      </c>
      <c r="M285" s="18" t="s">
        <v>1506</v>
      </c>
      <c r="N285" s="16" t="s">
        <v>1415</v>
      </c>
      <c r="O285" s="18" t="s">
        <v>1092</v>
      </c>
      <c r="P285" s="18" t="s">
        <v>1092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1110</v>
      </c>
      <c r="K286" s="18">
        <v>9746470</v>
      </c>
      <c r="L286" s="18">
        <v>850607</v>
      </c>
      <c r="M286" s="18" t="s">
        <v>1507</v>
      </c>
      <c r="N286" s="16" t="s">
        <v>1504</v>
      </c>
      <c r="O286" s="18" t="s">
        <v>1508</v>
      </c>
      <c r="P286" s="18" t="s">
        <v>1265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1110</v>
      </c>
      <c r="K287" s="18">
        <v>9746463</v>
      </c>
      <c r="L287" s="18">
        <v>855352</v>
      </c>
      <c r="M287" s="18" t="s">
        <v>1509</v>
      </c>
      <c r="N287" s="16" t="s">
        <v>1415</v>
      </c>
      <c r="O287" s="18" t="s">
        <v>1510</v>
      </c>
      <c r="P287" s="18" t="s">
        <v>1124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1110</v>
      </c>
      <c r="K288" s="18">
        <v>9746470</v>
      </c>
      <c r="L288" s="18">
        <v>850607</v>
      </c>
      <c r="M288" s="18" t="s">
        <v>1507</v>
      </c>
      <c r="N288" s="16" t="s">
        <v>1504</v>
      </c>
      <c r="O288" s="18" t="s">
        <v>1508</v>
      </c>
      <c r="P288" s="18" t="s">
        <v>1265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1196</v>
      </c>
      <c r="K289" s="18">
        <v>9746182</v>
      </c>
      <c r="L289" s="18">
        <v>854992</v>
      </c>
      <c r="M289" s="18" t="s">
        <v>1511</v>
      </c>
      <c r="N289" s="16" t="s">
        <v>1415</v>
      </c>
      <c r="O289" s="18" t="s">
        <v>1092</v>
      </c>
      <c r="P289" s="18" t="s">
        <v>1092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1120</v>
      </c>
      <c r="K290" s="18">
        <v>9746473</v>
      </c>
      <c r="L290" s="18">
        <v>855332</v>
      </c>
      <c r="M290" s="18" t="s">
        <v>1512</v>
      </c>
      <c r="N290" s="16" t="s">
        <v>1415</v>
      </c>
      <c r="O290" s="18" t="s">
        <v>1513</v>
      </c>
      <c r="P290" s="18" t="s">
        <v>1486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1120</v>
      </c>
      <c r="K291" s="18">
        <v>9746272</v>
      </c>
      <c r="L291" s="18">
        <v>850792</v>
      </c>
      <c r="M291" s="18" t="s">
        <v>1493</v>
      </c>
      <c r="N291" s="16" t="s">
        <v>1424</v>
      </c>
      <c r="O291" s="18" t="s">
        <v>1494</v>
      </c>
      <c r="P291" s="18" t="s">
        <v>1495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1196</v>
      </c>
      <c r="K292" s="18">
        <v>5018979</v>
      </c>
      <c r="L292" s="18">
        <v>855443</v>
      </c>
      <c r="M292" s="18" t="s">
        <v>1514</v>
      </c>
      <c r="N292" s="16" t="s">
        <v>1415</v>
      </c>
      <c r="O292" s="18" t="s">
        <v>1092</v>
      </c>
      <c r="P292" s="18" t="s">
        <v>1092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1110</v>
      </c>
      <c r="K293" s="18">
        <v>9746399</v>
      </c>
      <c r="L293" s="18">
        <v>855383</v>
      </c>
      <c r="M293" s="18" t="s">
        <v>1515</v>
      </c>
      <c r="N293" s="16" t="s">
        <v>1415</v>
      </c>
      <c r="O293" s="18" t="s">
        <v>1516</v>
      </c>
      <c r="P293" s="18" t="s">
        <v>1492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1110</v>
      </c>
      <c r="K294" s="18">
        <v>9746461</v>
      </c>
      <c r="L294" s="18">
        <v>855367</v>
      </c>
      <c r="M294" s="18" t="s">
        <v>1517</v>
      </c>
      <c r="N294" s="16" t="s">
        <v>1415</v>
      </c>
      <c r="O294" s="18" t="s">
        <v>1518</v>
      </c>
      <c r="P294" s="18" t="s">
        <v>1492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1110</v>
      </c>
      <c r="K295" s="18">
        <v>9746463</v>
      </c>
      <c r="L295" s="18">
        <v>855352</v>
      </c>
      <c r="M295" s="18" t="s">
        <v>1519</v>
      </c>
      <c r="N295" s="16" t="s">
        <v>1415</v>
      </c>
      <c r="O295" s="18" t="s">
        <v>1520</v>
      </c>
      <c r="P295" s="18" t="s">
        <v>1124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1120</v>
      </c>
      <c r="K296" s="18">
        <v>9746473</v>
      </c>
      <c r="L296" s="18">
        <v>855332</v>
      </c>
      <c r="M296" s="18" t="s">
        <v>1521</v>
      </c>
      <c r="N296" s="16" t="s">
        <v>1415</v>
      </c>
      <c r="O296" s="18" t="s">
        <v>1522</v>
      </c>
      <c r="P296" s="18" t="s">
        <v>1523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1082</v>
      </c>
      <c r="K297" s="18">
        <v>9746194</v>
      </c>
      <c r="L297" s="18">
        <v>850538</v>
      </c>
      <c r="M297" s="18" t="s">
        <v>1524</v>
      </c>
      <c r="N297" s="16" t="s">
        <v>1424</v>
      </c>
      <c r="O297" s="18" t="s">
        <v>1525</v>
      </c>
      <c r="P297" s="18" t="s">
        <v>1265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1082</v>
      </c>
      <c r="K298" s="18">
        <v>9746193</v>
      </c>
      <c r="L298" s="18">
        <v>850576</v>
      </c>
      <c r="M298" s="18" t="s">
        <v>1526</v>
      </c>
      <c r="N298" s="16" t="s">
        <v>1424</v>
      </c>
      <c r="O298" s="18" t="s">
        <v>1527</v>
      </c>
      <c r="P298" s="18" t="s">
        <v>1265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1082</v>
      </c>
      <c r="K299" s="18">
        <v>9746261</v>
      </c>
      <c r="L299" s="18">
        <v>850135</v>
      </c>
      <c r="M299" s="18" t="s">
        <v>1528</v>
      </c>
      <c r="N299" s="16" t="s">
        <v>1424</v>
      </c>
      <c r="O299" s="18" t="s">
        <v>1529</v>
      </c>
      <c r="P299" s="18" t="s">
        <v>1272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1082</v>
      </c>
      <c r="K300" s="18">
        <v>9746264</v>
      </c>
      <c r="L300" s="18">
        <v>850598</v>
      </c>
      <c r="M300" s="18" t="s">
        <v>1530</v>
      </c>
      <c r="N300" s="16" t="s">
        <v>1424</v>
      </c>
      <c r="O300" s="18" t="s">
        <v>1531</v>
      </c>
      <c r="P300" s="18" t="s">
        <v>1272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1082</v>
      </c>
      <c r="K301" s="18">
        <v>9746262</v>
      </c>
      <c r="L301" s="18">
        <v>850466</v>
      </c>
      <c r="M301" s="18" t="s">
        <v>1532</v>
      </c>
      <c r="N301" s="16" t="s">
        <v>1424</v>
      </c>
      <c r="O301" s="18" t="s">
        <v>1533</v>
      </c>
      <c r="P301" s="18" t="s">
        <v>1272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1082</v>
      </c>
      <c r="K302" s="18">
        <v>9746191</v>
      </c>
      <c r="L302" s="18">
        <v>850482</v>
      </c>
      <c r="M302" s="18" t="s">
        <v>1534</v>
      </c>
      <c r="N302" s="16" t="s">
        <v>1424</v>
      </c>
      <c r="O302" s="18" t="s">
        <v>1535</v>
      </c>
      <c r="P302" s="18" t="s">
        <v>1272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1120</v>
      </c>
      <c r="K303" s="18">
        <v>5019227</v>
      </c>
      <c r="L303" s="18" t="s">
        <v>1092</v>
      </c>
      <c r="M303" s="18" t="s">
        <v>1092</v>
      </c>
      <c r="N303" s="16" t="s">
        <v>1092</v>
      </c>
      <c r="O303" s="18" t="s">
        <v>1092</v>
      </c>
      <c r="P303" s="18" t="s">
        <v>1092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1110</v>
      </c>
      <c r="K304" s="18">
        <v>9753484</v>
      </c>
      <c r="L304" s="18">
        <v>856240</v>
      </c>
      <c r="M304" s="18" t="s">
        <v>1536</v>
      </c>
      <c r="N304" s="16" t="s">
        <v>1415</v>
      </c>
      <c r="O304" s="18" t="s">
        <v>1537</v>
      </c>
      <c r="P304" s="18" t="s">
        <v>1458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1110</v>
      </c>
      <c r="K305" s="18">
        <v>5019198</v>
      </c>
      <c r="L305" s="18">
        <v>852709</v>
      </c>
      <c r="M305" s="18" t="s">
        <v>1538</v>
      </c>
      <c r="N305" s="16" t="s">
        <v>1281</v>
      </c>
      <c r="O305" s="18" t="s">
        <v>1539</v>
      </c>
      <c r="P305" s="18" t="s">
        <v>1117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1097</v>
      </c>
      <c r="G306" s="22">
        <v>10856</v>
      </c>
      <c r="H306" s="22"/>
      <c r="I306" s="22">
        <f t="shared" si="5"/>
        <v>10856</v>
      </c>
      <c r="J306" s="18" t="s">
        <v>1110</v>
      </c>
      <c r="K306" s="18">
        <v>5019062</v>
      </c>
      <c r="L306" s="18">
        <v>850048</v>
      </c>
      <c r="M306" s="18" t="s">
        <v>1540</v>
      </c>
      <c r="N306" s="16" t="s">
        <v>1424</v>
      </c>
      <c r="O306" s="18" t="s">
        <v>1344</v>
      </c>
      <c r="P306" s="18" t="s">
        <v>1285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1298</v>
      </c>
      <c r="G307" s="22">
        <v>1350</v>
      </c>
      <c r="H307" s="22"/>
      <c r="I307" s="22">
        <f t="shared" si="5"/>
        <v>1350</v>
      </c>
      <c r="J307" s="18" t="s">
        <v>1110</v>
      </c>
      <c r="K307" s="18">
        <v>5019065</v>
      </c>
      <c r="L307" s="18">
        <v>850048</v>
      </c>
      <c r="M307" s="18" t="s">
        <v>1540</v>
      </c>
      <c r="N307" s="16" t="s">
        <v>1424</v>
      </c>
      <c r="O307" s="18" t="s">
        <v>1344</v>
      </c>
      <c r="P307" s="18" t="s">
        <v>1285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1082</v>
      </c>
      <c r="K308" s="18">
        <v>9753249</v>
      </c>
      <c r="L308" s="18">
        <v>852540</v>
      </c>
      <c r="M308" s="18" t="s">
        <v>1541</v>
      </c>
      <c r="N308" s="16" t="s">
        <v>1281</v>
      </c>
      <c r="O308" s="18" t="s">
        <v>1542</v>
      </c>
      <c r="P308" s="18" t="s">
        <v>1543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1082</v>
      </c>
      <c r="K309" s="18">
        <v>9751431</v>
      </c>
      <c r="L309" s="18" t="s">
        <v>1092</v>
      </c>
      <c r="M309" s="18" t="s">
        <v>1092</v>
      </c>
      <c r="N309" s="16" t="s">
        <v>1092</v>
      </c>
      <c r="O309" s="18" t="s">
        <v>1092</v>
      </c>
      <c r="P309" s="18" t="s">
        <v>1092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1120</v>
      </c>
      <c r="K310" s="18">
        <v>5019061</v>
      </c>
      <c r="L310" s="18">
        <v>856711</v>
      </c>
      <c r="M310" s="18" t="s">
        <v>1544</v>
      </c>
      <c r="N310" s="16" t="s">
        <v>1460</v>
      </c>
      <c r="O310" s="18" t="s">
        <v>1545</v>
      </c>
      <c r="P310" s="18" t="s">
        <v>1546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1120</v>
      </c>
      <c r="K311" s="18">
        <v>5019060</v>
      </c>
      <c r="L311" s="18">
        <v>852217</v>
      </c>
      <c r="M311" s="18" t="s">
        <v>1547</v>
      </c>
      <c r="N311" s="16" t="s">
        <v>1548</v>
      </c>
      <c r="O311" s="18" t="s">
        <v>1549</v>
      </c>
      <c r="P311" s="18" t="s">
        <v>1550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1120</v>
      </c>
      <c r="K312" s="18">
        <v>5019165</v>
      </c>
      <c r="L312" s="18" t="s">
        <v>1092</v>
      </c>
      <c r="M312" s="18" t="s">
        <v>1092</v>
      </c>
      <c r="N312" s="16" t="s">
        <v>1092</v>
      </c>
      <c r="O312" s="18" t="s">
        <v>1092</v>
      </c>
      <c r="P312" s="18" t="s">
        <v>1092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1149</v>
      </c>
      <c r="K313" s="18">
        <v>5019165</v>
      </c>
      <c r="L313" s="18" t="s">
        <v>1092</v>
      </c>
      <c r="M313" s="18" t="s">
        <v>1092</v>
      </c>
      <c r="N313" s="16" t="s">
        <v>1092</v>
      </c>
      <c r="O313" s="18" t="s">
        <v>1092</v>
      </c>
      <c r="P313" s="18" t="s">
        <v>1092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1082</v>
      </c>
      <c r="K314" s="18">
        <v>9746185</v>
      </c>
      <c r="L314" s="18">
        <v>850520</v>
      </c>
      <c r="M314" s="18" t="s">
        <v>1551</v>
      </c>
      <c r="N314" s="16" t="s">
        <v>1424</v>
      </c>
      <c r="O314" s="18" t="s">
        <v>1552</v>
      </c>
      <c r="P314" s="18" t="s">
        <v>1553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1082</v>
      </c>
      <c r="K315" s="18">
        <v>9746189</v>
      </c>
      <c r="L315" s="18">
        <v>850502</v>
      </c>
      <c r="M315" s="18" t="s">
        <v>1554</v>
      </c>
      <c r="N315" s="16" t="s">
        <v>1504</v>
      </c>
      <c r="O315" s="18" t="s">
        <v>1555</v>
      </c>
      <c r="P315" s="18" t="s">
        <v>1553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1094</v>
      </c>
      <c r="K316" s="18">
        <v>9746384</v>
      </c>
      <c r="L316" s="18">
        <v>850103</v>
      </c>
      <c r="M316" s="18" t="s">
        <v>1556</v>
      </c>
      <c r="N316" s="16" t="s">
        <v>1504</v>
      </c>
      <c r="O316" s="18" t="s">
        <v>1092</v>
      </c>
      <c r="P316" s="18" t="s">
        <v>1092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1094</v>
      </c>
      <c r="K317" s="18">
        <v>9746386</v>
      </c>
      <c r="L317" s="18" t="s">
        <v>1092</v>
      </c>
      <c r="M317" s="18" t="s">
        <v>1092</v>
      </c>
      <c r="N317" s="16" t="s">
        <v>1092</v>
      </c>
      <c r="O317" s="18" t="s">
        <v>1092</v>
      </c>
      <c r="P317" s="18" t="s">
        <v>1092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1196</v>
      </c>
      <c r="K318" s="18">
        <v>9746130</v>
      </c>
      <c r="L318" s="18">
        <v>850529</v>
      </c>
      <c r="M318" s="18" t="s">
        <v>1557</v>
      </c>
      <c r="N318" s="16" t="s">
        <v>1424</v>
      </c>
      <c r="O318" s="18" t="s">
        <v>1558</v>
      </c>
      <c r="P318" s="18" t="s">
        <v>1285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1559</v>
      </c>
      <c r="G319" s="22">
        <v>49.99</v>
      </c>
      <c r="H319" s="22">
        <v>12590.99</v>
      </c>
      <c r="I319" s="22">
        <f t="shared" si="5"/>
        <v>12640.98</v>
      </c>
      <c r="J319" s="18" t="s">
        <v>1196</v>
      </c>
      <c r="K319" s="18">
        <v>9746136</v>
      </c>
      <c r="L319" s="18">
        <v>852483</v>
      </c>
      <c r="M319" s="18" t="s">
        <v>1560</v>
      </c>
      <c r="N319" s="16" t="s">
        <v>1281</v>
      </c>
      <c r="O319" s="18" t="s">
        <v>1561</v>
      </c>
      <c r="P319" s="18" t="s">
        <v>1562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>
      <c r="A320" s="16">
        <v>46043</v>
      </c>
      <c r="B320" s="16">
        <v>46049</v>
      </c>
      <c r="C320" s="21" t="s">
        <v>1563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1298</v>
      </c>
      <c r="G320" s="22">
        <v>10398</v>
      </c>
      <c r="H320" s="22"/>
      <c r="I320" s="22">
        <f t="shared" ref="I320:I383" si="6">G320+H320</f>
        <v>10398</v>
      </c>
      <c r="J320" s="18" t="s">
        <v>1110</v>
      </c>
      <c r="K320" s="18">
        <v>5019064</v>
      </c>
      <c r="L320" s="18">
        <v>850087</v>
      </c>
      <c r="M320" s="18" t="s">
        <v>1564</v>
      </c>
      <c r="N320" s="16" t="s">
        <v>1424</v>
      </c>
      <c r="O320" s="18" t="s">
        <v>1301</v>
      </c>
      <c r="P320" s="18" t="s">
        <v>1430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>
      <c r="A321" s="16">
        <v>46043</v>
      </c>
      <c r="B321" s="16">
        <v>46049</v>
      </c>
      <c r="C321" s="21" t="s">
        <v>1565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1300</v>
      </c>
      <c r="G321" s="22">
        <v>1981</v>
      </c>
      <c r="H321" s="22"/>
      <c r="I321" s="22">
        <f t="shared" si="6"/>
        <v>1981</v>
      </c>
      <c r="J321" s="18" t="s">
        <v>1110</v>
      </c>
      <c r="K321" s="18">
        <v>5019063</v>
      </c>
      <c r="L321" s="18">
        <v>850087</v>
      </c>
      <c r="M321" s="18" t="s">
        <v>1564</v>
      </c>
      <c r="N321" s="16" t="s">
        <v>1424</v>
      </c>
      <c r="O321" s="18" t="s">
        <v>1301</v>
      </c>
      <c r="P321" s="18" t="s">
        <v>1430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1082</v>
      </c>
      <c r="K322" s="18">
        <v>9759056</v>
      </c>
      <c r="L322" s="18">
        <v>856760</v>
      </c>
      <c r="M322" s="18" t="s">
        <v>1566</v>
      </c>
      <c r="N322" s="16" t="s">
        <v>1548</v>
      </c>
      <c r="O322" s="18" t="s">
        <v>1567</v>
      </c>
      <c r="P322" s="18" t="s">
        <v>1568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1082</v>
      </c>
      <c r="K323" s="18">
        <v>9743497</v>
      </c>
      <c r="L323" s="18">
        <v>856175</v>
      </c>
      <c r="M323" s="18" t="s">
        <v>1569</v>
      </c>
      <c r="N323" s="16" t="s">
        <v>1415</v>
      </c>
      <c r="O323" s="18" t="s">
        <v>1570</v>
      </c>
      <c r="P323" s="18" t="s">
        <v>1571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1082</v>
      </c>
      <c r="K324" s="18">
        <v>9743560</v>
      </c>
      <c r="L324" s="18">
        <v>855351</v>
      </c>
      <c r="M324" s="18" t="s">
        <v>1572</v>
      </c>
      <c r="N324" s="16" t="s">
        <v>1089</v>
      </c>
      <c r="O324" s="18" t="s">
        <v>1573</v>
      </c>
      <c r="P324" s="18" t="s">
        <v>1571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1082</v>
      </c>
      <c r="K325" s="18">
        <v>9743572</v>
      </c>
      <c r="L325" s="18">
        <v>855733</v>
      </c>
      <c r="M325" s="18" t="s">
        <v>1574</v>
      </c>
      <c r="N325" s="16" t="s">
        <v>1089</v>
      </c>
      <c r="O325" s="18" t="s">
        <v>1575</v>
      </c>
      <c r="P325" s="18" t="s">
        <v>1465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1082</v>
      </c>
      <c r="K326" s="18">
        <v>9743567</v>
      </c>
      <c r="L326" s="18">
        <v>855747</v>
      </c>
      <c r="M326" s="18" t="s">
        <v>1576</v>
      </c>
      <c r="N326" s="16" t="s">
        <v>1089</v>
      </c>
      <c r="O326" s="18" t="s">
        <v>1577</v>
      </c>
      <c r="P326" s="18" t="s">
        <v>1465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1082</v>
      </c>
      <c r="K327" s="18">
        <v>9743564</v>
      </c>
      <c r="L327" s="18">
        <v>855719</v>
      </c>
      <c r="M327" s="18" t="s">
        <v>1578</v>
      </c>
      <c r="N327" s="16" t="s">
        <v>1089</v>
      </c>
      <c r="O327" s="18" t="s">
        <v>1579</v>
      </c>
      <c r="P327" s="18" t="s">
        <v>1465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1082</v>
      </c>
      <c r="K328" s="18">
        <v>9743605</v>
      </c>
      <c r="L328" s="18">
        <v>855754</v>
      </c>
      <c r="M328" s="18" t="s">
        <v>1580</v>
      </c>
      <c r="N328" s="16" t="s">
        <v>1089</v>
      </c>
      <c r="O328" s="18" t="s">
        <v>1581</v>
      </c>
      <c r="P328" s="18" t="s">
        <v>1465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1082</v>
      </c>
      <c r="K329" s="18">
        <v>9743493</v>
      </c>
      <c r="L329" s="18">
        <v>855725</v>
      </c>
      <c r="M329" s="18" t="s">
        <v>1582</v>
      </c>
      <c r="N329" s="16" t="s">
        <v>1089</v>
      </c>
      <c r="O329" s="18" t="s">
        <v>1583</v>
      </c>
      <c r="P329" s="18" t="s">
        <v>1465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1082</v>
      </c>
      <c r="K330" s="18">
        <v>9743607</v>
      </c>
      <c r="L330" s="18">
        <v>9757249</v>
      </c>
      <c r="M330" s="18" t="s">
        <v>1092</v>
      </c>
      <c r="N330" s="16" t="s">
        <v>1092</v>
      </c>
      <c r="O330" s="18" t="s">
        <v>1092</v>
      </c>
      <c r="P330" s="18" t="s">
        <v>1092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1082</v>
      </c>
      <c r="K331" s="18">
        <v>9743565</v>
      </c>
      <c r="L331" s="18">
        <v>855708</v>
      </c>
      <c r="M331" s="18" t="s">
        <v>1584</v>
      </c>
      <c r="N331" s="16" t="s">
        <v>1415</v>
      </c>
      <c r="O331" s="18" t="s">
        <v>1585</v>
      </c>
      <c r="P331" s="18" t="s">
        <v>1586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1110</v>
      </c>
      <c r="K332" s="18">
        <v>5019174</v>
      </c>
      <c r="L332" s="18" t="s">
        <v>1092</v>
      </c>
      <c r="M332" s="18" t="s">
        <v>1092</v>
      </c>
      <c r="N332" s="16" t="s">
        <v>1092</v>
      </c>
      <c r="O332" s="18" t="s">
        <v>1092</v>
      </c>
      <c r="P332" s="18" t="s">
        <v>1092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1262</v>
      </c>
      <c r="K333" s="18">
        <v>9750764</v>
      </c>
      <c r="L333" s="18">
        <v>857178</v>
      </c>
      <c r="M333" s="18" t="s">
        <v>1587</v>
      </c>
      <c r="N333" s="16" t="s">
        <v>1122</v>
      </c>
      <c r="O333" s="18" t="s">
        <v>1588</v>
      </c>
      <c r="P333" s="18" t="s">
        <v>1498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1077</v>
      </c>
      <c r="K334" s="18">
        <v>9750702</v>
      </c>
      <c r="L334" s="18">
        <v>856732</v>
      </c>
      <c r="M334" s="18" t="s">
        <v>1589</v>
      </c>
      <c r="N334" s="16" t="s">
        <v>1122</v>
      </c>
      <c r="O334" s="18" t="s">
        <v>1590</v>
      </c>
      <c r="P334" s="18" t="s">
        <v>1591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1262</v>
      </c>
      <c r="K335" s="18">
        <v>9750764</v>
      </c>
      <c r="L335" s="18">
        <v>857178</v>
      </c>
      <c r="M335" s="18" t="s">
        <v>1587</v>
      </c>
      <c r="N335" s="16" t="s">
        <v>1122</v>
      </c>
      <c r="O335" s="18" t="s">
        <v>1588</v>
      </c>
      <c r="P335" s="18" t="s">
        <v>1498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1077</v>
      </c>
      <c r="K336" s="18">
        <v>9750702</v>
      </c>
      <c r="L336" s="18">
        <v>856732</v>
      </c>
      <c r="M336" s="18" t="s">
        <v>1592</v>
      </c>
      <c r="N336" s="16" t="s">
        <v>1122</v>
      </c>
      <c r="O336" s="18" t="s">
        <v>1593</v>
      </c>
      <c r="P336" s="18" t="s">
        <v>1594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1082</v>
      </c>
      <c r="K337" s="18">
        <v>9750829</v>
      </c>
      <c r="L337" s="18">
        <v>855475</v>
      </c>
      <c r="M337" s="18" t="s">
        <v>1595</v>
      </c>
      <c r="N337" s="16" t="s">
        <v>1415</v>
      </c>
      <c r="O337" s="18" t="s">
        <v>1596</v>
      </c>
      <c r="P337" s="18" t="s">
        <v>1492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1082</v>
      </c>
      <c r="K338" s="18">
        <v>9750828</v>
      </c>
      <c r="L338" s="18">
        <v>855597</v>
      </c>
      <c r="M338" s="18" t="s">
        <v>1597</v>
      </c>
      <c r="N338" s="16" t="s">
        <v>1089</v>
      </c>
      <c r="O338" s="18" t="s">
        <v>1598</v>
      </c>
      <c r="P338" s="18" t="s">
        <v>1492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1082</v>
      </c>
      <c r="K339" s="18">
        <v>9750828</v>
      </c>
      <c r="L339" s="18">
        <v>855597</v>
      </c>
      <c r="M339" s="18" t="s">
        <v>1599</v>
      </c>
      <c r="N339" s="16" t="s">
        <v>1089</v>
      </c>
      <c r="O339" s="18" t="s">
        <v>1600</v>
      </c>
      <c r="P339" s="18" t="s">
        <v>1486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1082</v>
      </c>
      <c r="K340" s="18">
        <v>9750829</v>
      </c>
      <c r="L340" s="18">
        <v>855475</v>
      </c>
      <c r="M340" s="18" t="s">
        <v>1601</v>
      </c>
      <c r="N340" s="16" t="s">
        <v>1415</v>
      </c>
      <c r="O340" s="18" t="s">
        <v>1092</v>
      </c>
      <c r="P340" s="18" t="s">
        <v>1092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1196</v>
      </c>
      <c r="K341" s="18">
        <v>5019176</v>
      </c>
      <c r="L341" s="18">
        <v>852663</v>
      </c>
      <c r="M341" s="18" t="s">
        <v>1602</v>
      </c>
      <c r="N341" s="16" t="s">
        <v>1281</v>
      </c>
      <c r="O341" s="18" t="s">
        <v>1603</v>
      </c>
      <c r="P341" s="18" t="s">
        <v>1604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1300</v>
      </c>
      <c r="G342" s="22">
        <v>11371</v>
      </c>
      <c r="H342" s="22"/>
      <c r="I342" s="22">
        <f t="shared" si="6"/>
        <v>11371</v>
      </c>
      <c r="J342" s="18" t="s">
        <v>1120</v>
      </c>
      <c r="K342" s="18">
        <v>5019137</v>
      </c>
      <c r="L342" s="18">
        <v>851088</v>
      </c>
      <c r="M342" s="18" t="s">
        <v>1605</v>
      </c>
      <c r="N342" s="16" t="s">
        <v>1264</v>
      </c>
      <c r="O342" s="18" t="s">
        <v>1333</v>
      </c>
      <c r="P342" s="18" t="s">
        <v>1285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1301</v>
      </c>
      <c r="G343" s="22">
        <v>1902</v>
      </c>
      <c r="H343" s="22"/>
      <c r="I343" s="22">
        <f t="shared" si="6"/>
        <v>1902</v>
      </c>
      <c r="J343" s="18" t="s">
        <v>1120</v>
      </c>
      <c r="K343" s="18">
        <v>9750868</v>
      </c>
      <c r="L343" s="18">
        <v>852617</v>
      </c>
      <c r="M343" s="18" t="s">
        <v>1606</v>
      </c>
      <c r="N343" s="16" t="s">
        <v>1281</v>
      </c>
      <c r="O343" s="18" t="s">
        <v>1116</v>
      </c>
      <c r="P343" s="18" t="s">
        <v>1285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>
      <c r="A344" s="16">
        <v>46049</v>
      </c>
      <c r="B344" s="16">
        <v>46050</v>
      </c>
      <c r="C344" s="21" t="s">
        <v>1607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1255</v>
      </c>
      <c r="G344" s="22">
        <v>1125</v>
      </c>
      <c r="H344" s="22"/>
      <c r="I344" s="22">
        <f t="shared" si="6"/>
        <v>1125</v>
      </c>
      <c r="J344" s="18" t="s">
        <v>1120</v>
      </c>
      <c r="K344" s="18">
        <v>5019138</v>
      </c>
      <c r="L344" s="18">
        <v>851148</v>
      </c>
      <c r="M344" s="18" t="s">
        <v>1608</v>
      </c>
      <c r="N344" s="16" t="s">
        <v>1424</v>
      </c>
      <c r="O344" s="18" t="s">
        <v>1331</v>
      </c>
      <c r="P344" s="18" t="s">
        <v>1285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1196</v>
      </c>
      <c r="K345" s="18">
        <v>9750642</v>
      </c>
      <c r="L345" s="18">
        <v>857268</v>
      </c>
      <c r="M345" s="18" t="s">
        <v>1609</v>
      </c>
      <c r="N345" s="16" t="s">
        <v>1122</v>
      </c>
      <c r="O345" s="18" t="s">
        <v>1610</v>
      </c>
      <c r="P345" s="18" t="s">
        <v>1611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>
      <c r="A346" s="16">
        <v>46049</v>
      </c>
      <c r="B346" s="16">
        <v>46057</v>
      </c>
      <c r="C346" s="21" t="s">
        <v>1612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1120</v>
      </c>
      <c r="K346" s="18" t="s">
        <v>1613</v>
      </c>
      <c r="L346" s="18">
        <v>852777</v>
      </c>
      <c r="M346" s="18" t="s">
        <v>1614</v>
      </c>
      <c r="N346" s="16" t="s">
        <v>1415</v>
      </c>
      <c r="O346" s="18" t="s">
        <v>1615</v>
      </c>
      <c r="P346" s="18" t="s">
        <v>1568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1196</v>
      </c>
      <c r="K347" s="18" t="s">
        <v>1616</v>
      </c>
      <c r="L347" s="18">
        <v>855536</v>
      </c>
      <c r="M347" s="18" t="s">
        <v>1617</v>
      </c>
      <c r="N347" s="16" t="s">
        <v>1415</v>
      </c>
      <c r="O347" s="18" t="s">
        <v>1618</v>
      </c>
      <c r="P347" s="18" t="s">
        <v>1568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>
      <c r="A348" s="16">
        <v>46049</v>
      </c>
      <c r="B348" s="16">
        <v>46057</v>
      </c>
      <c r="C348" s="21" t="s">
        <v>1619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1196</v>
      </c>
      <c r="K348" s="18" t="s">
        <v>1620</v>
      </c>
      <c r="L348" s="18">
        <v>855515</v>
      </c>
      <c r="M348" s="18" t="s">
        <v>1621</v>
      </c>
      <c r="N348" s="16" t="s">
        <v>1415</v>
      </c>
      <c r="O348" s="18" t="s">
        <v>1622</v>
      </c>
      <c r="P348" s="18" t="s">
        <v>1623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>
      <c r="A349" s="16">
        <v>46049</v>
      </c>
      <c r="B349" s="16">
        <v>46057</v>
      </c>
      <c r="C349" s="21" t="s">
        <v>1624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1196</v>
      </c>
      <c r="K349" s="18" t="s">
        <v>1625</v>
      </c>
      <c r="L349" s="18">
        <v>855491</v>
      </c>
      <c r="M349" s="18" t="s">
        <v>1626</v>
      </c>
      <c r="N349" s="16" t="s">
        <v>1415</v>
      </c>
      <c r="O349" s="18" t="s">
        <v>1627</v>
      </c>
      <c r="P349" s="18" t="s">
        <v>1340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>
      <c r="A350" s="16">
        <v>46049</v>
      </c>
      <c r="B350" s="16">
        <v>46058</v>
      </c>
      <c r="C350" s="21" t="s">
        <v>1229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1120</v>
      </c>
      <c r="K350" s="18">
        <v>5019160</v>
      </c>
      <c r="L350" s="18">
        <v>856680</v>
      </c>
      <c r="M350" s="18" t="s">
        <v>1628</v>
      </c>
      <c r="N350" s="16" t="s">
        <v>1122</v>
      </c>
      <c r="O350" s="18" t="s">
        <v>1629</v>
      </c>
      <c r="P350" s="18" t="s">
        <v>1550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>
      <c r="A351" s="16">
        <v>46049</v>
      </c>
      <c r="B351" s="16">
        <v>46058</v>
      </c>
      <c r="C351" s="21" t="s">
        <v>1630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1120</v>
      </c>
      <c r="K351" s="18">
        <v>5019164</v>
      </c>
      <c r="L351" s="18">
        <v>856162</v>
      </c>
      <c r="M351" s="18" t="s">
        <v>1631</v>
      </c>
      <c r="N351" s="16" t="s">
        <v>1122</v>
      </c>
      <c r="O351" s="18" t="s">
        <v>1632</v>
      </c>
      <c r="P351" s="18" t="s">
        <v>1550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1120</v>
      </c>
      <c r="K352" s="18">
        <v>9750719</v>
      </c>
      <c r="L352" s="18">
        <v>856657</v>
      </c>
      <c r="M352" s="18" t="s">
        <v>1633</v>
      </c>
      <c r="N352" s="16" t="s">
        <v>1460</v>
      </c>
      <c r="O352" s="18" t="s">
        <v>1634</v>
      </c>
      <c r="P352" s="18" t="s">
        <v>1546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>
      <c r="A353" s="16">
        <v>46049</v>
      </c>
      <c r="B353" s="16">
        <v>46058</v>
      </c>
      <c r="C353" s="21" t="s">
        <v>1630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1120</v>
      </c>
      <c r="K353" s="18">
        <v>5019166</v>
      </c>
      <c r="L353" s="18">
        <v>857244</v>
      </c>
      <c r="M353" s="18" t="s">
        <v>1635</v>
      </c>
      <c r="N353" s="16" t="s">
        <v>1122</v>
      </c>
      <c r="O353" s="18" t="s">
        <v>1636</v>
      </c>
      <c r="P353" s="18" t="s">
        <v>1489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>
      <c r="A354" s="16">
        <v>46049</v>
      </c>
      <c r="B354" s="16">
        <v>46053</v>
      </c>
      <c r="C354" s="21" t="s">
        <v>1131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1120</v>
      </c>
      <c r="K354" s="18">
        <v>5019163</v>
      </c>
      <c r="L354" s="18">
        <v>852588</v>
      </c>
      <c r="M354" s="18" t="s">
        <v>1637</v>
      </c>
      <c r="N354" s="16" t="s">
        <v>1281</v>
      </c>
      <c r="O354" s="18" t="s">
        <v>1638</v>
      </c>
      <c r="P354" s="18" t="s">
        <v>1285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1248</v>
      </c>
      <c r="K355" s="18">
        <v>5019165</v>
      </c>
      <c r="L355" s="18" t="s">
        <v>1092</v>
      </c>
      <c r="M355" s="18" t="s">
        <v>1092</v>
      </c>
      <c r="N355" s="16" t="s">
        <v>1092</v>
      </c>
      <c r="O355" s="18" t="s">
        <v>1092</v>
      </c>
      <c r="P355" s="18" t="s">
        <v>1092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1248</v>
      </c>
      <c r="K356" s="18">
        <v>5019165</v>
      </c>
      <c r="L356" s="18" t="s">
        <v>1092</v>
      </c>
      <c r="M356" s="18" t="s">
        <v>1092</v>
      </c>
      <c r="N356" s="16" t="s">
        <v>1092</v>
      </c>
      <c r="O356" s="18" t="s">
        <v>1092</v>
      </c>
      <c r="P356" s="18" t="s">
        <v>1092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1248</v>
      </c>
      <c r="K357" s="18">
        <v>5019165</v>
      </c>
      <c r="L357" s="18" t="s">
        <v>1092</v>
      </c>
      <c r="M357" s="18" t="s">
        <v>1092</v>
      </c>
      <c r="N357" s="16" t="s">
        <v>1092</v>
      </c>
      <c r="O357" s="18" t="s">
        <v>1092</v>
      </c>
      <c r="P357" s="18" t="s">
        <v>1092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1248</v>
      </c>
      <c r="K358" s="18">
        <v>5019165</v>
      </c>
      <c r="L358" s="18" t="s">
        <v>1092</v>
      </c>
      <c r="M358" s="18" t="s">
        <v>1092</v>
      </c>
      <c r="N358" s="16" t="s">
        <v>1092</v>
      </c>
      <c r="O358" s="18" t="s">
        <v>1092</v>
      </c>
      <c r="P358" s="18" t="s">
        <v>1092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1248</v>
      </c>
      <c r="K359" s="18">
        <v>5019165</v>
      </c>
      <c r="L359" s="18" t="s">
        <v>1092</v>
      </c>
      <c r="M359" s="18" t="s">
        <v>1092</v>
      </c>
      <c r="N359" s="16" t="s">
        <v>1092</v>
      </c>
      <c r="O359" s="18" t="s">
        <v>1092</v>
      </c>
      <c r="P359" s="18" t="s">
        <v>1092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1082</v>
      </c>
      <c r="K360" s="18">
        <v>9750866</v>
      </c>
      <c r="L360" s="18" t="s">
        <v>1092</v>
      </c>
      <c r="M360" s="18" t="s">
        <v>1092</v>
      </c>
      <c r="N360" s="16" t="s">
        <v>1092</v>
      </c>
      <c r="O360" s="18" t="s">
        <v>1092</v>
      </c>
      <c r="P360" s="18" t="s">
        <v>1092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1082</v>
      </c>
      <c r="K361" s="18">
        <v>9750864</v>
      </c>
      <c r="L361" s="18" t="s">
        <v>1092</v>
      </c>
      <c r="M361" s="18" t="s">
        <v>1092</v>
      </c>
      <c r="N361" s="16" t="s">
        <v>1092</v>
      </c>
      <c r="O361" s="18" t="s">
        <v>1092</v>
      </c>
      <c r="P361" s="18" t="s">
        <v>1092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1082</v>
      </c>
      <c r="K362" s="18">
        <v>9750836</v>
      </c>
      <c r="L362" s="18" t="s">
        <v>1092</v>
      </c>
      <c r="M362" s="18" t="s">
        <v>1092</v>
      </c>
      <c r="N362" s="16" t="s">
        <v>1092</v>
      </c>
      <c r="O362" s="18" t="s">
        <v>1092</v>
      </c>
      <c r="P362" s="18" t="s">
        <v>1092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1196</v>
      </c>
      <c r="K363" s="18">
        <v>9750666</v>
      </c>
      <c r="L363" s="18">
        <v>851111</v>
      </c>
      <c r="M363" s="18" t="s">
        <v>1639</v>
      </c>
      <c r="N363" s="16" t="s">
        <v>1424</v>
      </c>
      <c r="O363" s="18" t="s">
        <v>1640</v>
      </c>
      <c r="P363" s="18" t="s">
        <v>1285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1110</v>
      </c>
      <c r="K364" s="18">
        <v>9750531</v>
      </c>
      <c r="L364" s="18">
        <v>843945</v>
      </c>
      <c r="M364" s="18" t="s">
        <v>1641</v>
      </c>
      <c r="N364" s="16" t="s">
        <v>1281</v>
      </c>
      <c r="O364" s="18" t="s">
        <v>1116</v>
      </c>
      <c r="P364" s="18" t="s">
        <v>1285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1110</v>
      </c>
      <c r="K365" s="18">
        <v>9750581</v>
      </c>
      <c r="L365" s="18">
        <v>843945</v>
      </c>
      <c r="M365" s="18" t="s">
        <v>1641</v>
      </c>
      <c r="N365" s="16" t="s">
        <v>1281</v>
      </c>
      <c r="O365" s="18" t="s">
        <v>1116</v>
      </c>
      <c r="P365" s="18" t="s">
        <v>1285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1110</v>
      </c>
      <c r="K366" s="18">
        <v>9750550</v>
      </c>
      <c r="L366" s="18">
        <v>843945</v>
      </c>
      <c r="M366" s="18" t="s">
        <v>1641</v>
      </c>
      <c r="N366" s="16" t="s">
        <v>1281</v>
      </c>
      <c r="O366" s="18" t="s">
        <v>1116</v>
      </c>
      <c r="P366" s="18" t="s">
        <v>1285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1110</v>
      </c>
      <c r="K367" s="18">
        <v>9750621</v>
      </c>
      <c r="L367" s="18">
        <v>843945</v>
      </c>
      <c r="M367" s="18" t="s">
        <v>1641</v>
      </c>
      <c r="N367" s="16" t="s">
        <v>1281</v>
      </c>
      <c r="O367" s="18" t="s">
        <v>1116</v>
      </c>
      <c r="P367" s="18" t="s">
        <v>1285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1110</v>
      </c>
      <c r="K368" s="18">
        <v>9750593</v>
      </c>
      <c r="L368" s="18">
        <v>843945</v>
      </c>
      <c r="M368" s="18" t="s">
        <v>1641</v>
      </c>
      <c r="N368" s="16" t="s">
        <v>1281</v>
      </c>
      <c r="O368" s="18" t="s">
        <v>1116</v>
      </c>
      <c r="P368" s="18" t="s">
        <v>1285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1196</v>
      </c>
      <c r="K369" s="18">
        <v>9750535</v>
      </c>
      <c r="L369" s="18">
        <v>843945</v>
      </c>
      <c r="M369" s="18" t="s">
        <v>1641</v>
      </c>
      <c r="N369" s="16" t="s">
        <v>1281</v>
      </c>
      <c r="O369" s="18" t="s">
        <v>1116</v>
      </c>
      <c r="P369" s="18" t="s">
        <v>1285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1110</v>
      </c>
      <c r="K370" s="18">
        <v>9750540</v>
      </c>
      <c r="L370" s="18">
        <v>843945</v>
      </c>
      <c r="M370" s="18" t="s">
        <v>1641</v>
      </c>
      <c r="N370" s="16" t="s">
        <v>1281</v>
      </c>
      <c r="O370" s="18" t="s">
        <v>1116</v>
      </c>
      <c r="P370" s="18" t="s">
        <v>1285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1082</v>
      </c>
      <c r="K371" s="18">
        <v>9752549</v>
      </c>
      <c r="L371" s="18">
        <v>851167</v>
      </c>
      <c r="M371" s="18" t="s">
        <v>1642</v>
      </c>
      <c r="N371" s="16" t="s">
        <v>1281</v>
      </c>
      <c r="O371" s="18" t="s">
        <v>1643</v>
      </c>
      <c r="P371" s="18" t="s">
        <v>1091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>
      <c r="A372" s="16">
        <v>46051</v>
      </c>
      <c r="B372" s="16">
        <v>46052</v>
      </c>
      <c r="C372" s="21" t="s">
        <v>1644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1248</v>
      </c>
      <c r="K372" s="18" t="s">
        <v>1645</v>
      </c>
      <c r="L372" s="18" t="s">
        <v>1092</v>
      </c>
      <c r="M372" s="18" t="s">
        <v>1092</v>
      </c>
      <c r="N372" s="16" t="s">
        <v>1092</v>
      </c>
      <c r="O372" s="18" t="s">
        <v>1092</v>
      </c>
      <c r="P372" s="18" t="s">
        <v>1092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>
      <c r="A373" s="16">
        <v>46051</v>
      </c>
      <c r="B373" s="16">
        <v>46052</v>
      </c>
      <c r="C373" s="21" t="s">
        <v>1646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1248</v>
      </c>
      <c r="K373" s="18" t="s">
        <v>1647</v>
      </c>
      <c r="L373" s="18" t="s">
        <v>1092</v>
      </c>
      <c r="M373" s="18" t="s">
        <v>1092</v>
      </c>
      <c r="N373" s="16" t="s">
        <v>1092</v>
      </c>
      <c r="O373" s="18" t="s">
        <v>1092</v>
      </c>
      <c r="P373" s="18" t="s">
        <v>1092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>
      <c r="A374" s="16">
        <v>46051</v>
      </c>
      <c r="B374" s="16">
        <v>46052</v>
      </c>
      <c r="C374" s="21" t="s">
        <v>1644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1648</v>
      </c>
      <c r="G374" s="22">
        <v>5585</v>
      </c>
      <c r="H374" s="22"/>
      <c r="I374" s="22">
        <f t="shared" si="6"/>
        <v>5585</v>
      </c>
      <c r="J374" s="18" t="s">
        <v>1248</v>
      </c>
      <c r="K374" s="18" t="s">
        <v>1649</v>
      </c>
      <c r="L374" s="18" t="s">
        <v>1092</v>
      </c>
      <c r="M374" s="18" t="s">
        <v>1092</v>
      </c>
      <c r="N374" s="16" t="s">
        <v>1092</v>
      </c>
      <c r="O374" s="18" t="s">
        <v>1092</v>
      </c>
      <c r="P374" s="18" t="s">
        <v>1092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1082</v>
      </c>
      <c r="K375" s="18">
        <v>9758578</v>
      </c>
      <c r="L375" s="18">
        <v>857999</v>
      </c>
      <c r="M375" s="18" t="s">
        <v>1650</v>
      </c>
      <c r="N375" s="16" t="s">
        <v>1122</v>
      </c>
      <c r="O375" s="18" t="s">
        <v>1651</v>
      </c>
      <c r="P375" s="18" t="s">
        <v>1548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1082</v>
      </c>
      <c r="K376" s="18">
        <v>9757300</v>
      </c>
      <c r="L376" s="18">
        <v>859875</v>
      </c>
      <c r="M376" s="18" t="s">
        <v>1652</v>
      </c>
      <c r="N376" s="16" t="s">
        <v>1489</v>
      </c>
      <c r="O376" s="18" t="s">
        <v>1653</v>
      </c>
      <c r="P376" s="18" t="s">
        <v>1489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1082</v>
      </c>
      <c r="K377" s="18">
        <v>9757300</v>
      </c>
      <c r="L377" s="18">
        <v>859875</v>
      </c>
      <c r="M377" s="18" t="s">
        <v>1654</v>
      </c>
      <c r="N377" s="16" t="s">
        <v>1489</v>
      </c>
      <c r="O377" s="18" t="s">
        <v>1655</v>
      </c>
      <c r="P377" s="18" t="s">
        <v>1124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1082</v>
      </c>
      <c r="K378" s="18">
        <v>9757306</v>
      </c>
      <c r="L378" s="18">
        <v>857534</v>
      </c>
      <c r="M378" s="18" t="s">
        <v>1656</v>
      </c>
      <c r="N378" s="16" t="s">
        <v>1122</v>
      </c>
      <c r="O378" s="18" t="s">
        <v>1657</v>
      </c>
      <c r="P378" s="18" t="s">
        <v>1456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1082</v>
      </c>
      <c r="K379" s="18">
        <v>9750304</v>
      </c>
      <c r="L379" s="18">
        <v>859421</v>
      </c>
      <c r="M379" s="18" t="s">
        <v>1658</v>
      </c>
      <c r="N379" s="16" t="s">
        <v>1460</v>
      </c>
      <c r="O379" s="18" t="s">
        <v>1659</v>
      </c>
      <c r="P379" s="18" t="s">
        <v>1462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1082</v>
      </c>
      <c r="K380" s="18">
        <v>9750307</v>
      </c>
      <c r="L380" s="18">
        <v>859391</v>
      </c>
      <c r="M380" s="18" t="s">
        <v>1660</v>
      </c>
      <c r="N380" s="16" t="s">
        <v>1117</v>
      </c>
      <c r="O380" s="18" t="s">
        <v>1661</v>
      </c>
      <c r="P380" s="18" t="s">
        <v>1550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1082</v>
      </c>
      <c r="K381" s="18">
        <v>9753164</v>
      </c>
      <c r="L381" s="18">
        <v>859954</v>
      </c>
      <c r="M381" s="18" t="s">
        <v>1662</v>
      </c>
      <c r="N381" s="16" t="s">
        <v>1489</v>
      </c>
      <c r="O381" s="18" t="s">
        <v>1663</v>
      </c>
      <c r="P381" s="18" t="s">
        <v>1546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1082</v>
      </c>
      <c r="K382" s="18">
        <v>9750188</v>
      </c>
      <c r="L382" s="18">
        <v>859861</v>
      </c>
      <c r="M382" s="18" t="s">
        <v>1664</v>
      </c>
      <c r="N382" s="16" t="s">
        <v>1117</v>
      </c>
      <c r="O382" s="18" t="s">
        <v>1665</v>
      </c>
      <c r="P382" s="18" t="s">
        <v>1550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1082</v>
      </c>
      <c r="K383" s="18">
        <v>9750310</v>
      </c>
      <c r="L383" s="18">
        <v>857429</v>
      </c>
      <c r="M383" s="18" t="s">
        <v>1666</v>
      </c>
      <c r="N383" s="16" t="s">
        <v>1460</v>
      </c>
      <c r="O383" s="18" t="s">
        <v>1667</v>
      </c>
      <c r="P383" s="18" t="s">
        <v>1668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1082</v>
      </c>
      <c r="K384" s="18">
        <v>9753175</v>
      </c>
      <c r="L384" s="18">
        <v>857443</v>
      </c>
      <c r="M384" s="18" t="s">
        <v>1669</v>
      </c>
      <c r="N384" s="16" t="s">
        <v>1460</v>
      </c>
      <c r="O384" s="18" t="s">
        <v>1670</v>
      </c>
      <c r="P384" s="18" t="s">
        <v>1668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1082</v>
      </c>
      <c r="K385" s="18">
        <v>9750189</v>
      </c>
      <c r="L385" s="18">
        <v>857400</v>
      </c>
      <c r="M385" s="18" t="s">
        <v>1671</v>
      </c>
      <c r="N385" s="16" t="s">
        <v>1460</v>
      </c>
      <c r="O385" s="18" t="s">
        <v>1672</v>
      </c>
      <c r="P385" s="18" t="s">
        <v>1668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>
      <c r="A386" s="16">
        <v>46056</v>
      </c>
      <c r="B386" s="16">
        <v>46063</v>
      </c>
      <c r="C386" s="21" t="s">
        <v>1131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1082</v>
      </c>
      <c r="K386" s="18">
        <v>9757170</v>
      </c>
      <c r="L386" s="18">
        <v>857528</v>
      </c>
      <c r="M386" s="18" t="s">
        <v>1673</v>
      </c>
      <c r="N386" s="16" t="s">
        <v>1117</v>
      </c>
      <c r="O386" s="18" t="s">
        <v>1674</v>
      </c>
      <c r="P386" s="18" t="s">
        <v>1675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>
      <c r="A387" s="16">
        <v>46056</v>
      </c>
      <c r="B387" s="16">
        <v>46059</v>
      </c>
      <c r="C387" s="21" t="s">
        <v>1131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1120</v>
      </c>
      <c r="K387" s="18">
        <v>5019300</v>
      </c>
      <c r="L387" s="18">
        <v>858069</v>
      </c>
      <c r="M387" s="18" t="s">
        <v>1676</v>
      </c>
      <c r="N387" s="16" t="s">
        <v>1548</v>
      </c>
      <c r="O387" s="18" t="s">
        <v>1529</v>
      </c>
      <c r="P387" s="18" t="s">
        <v>1117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1196</v>
      </c>
      <c r="K388" s="18">
        <v>9756739</v>
      </c>
      <c r="L388" s="18">
        <v>857684</v>
      </c>
      <c r="M388" s="18" t="s">
        <v>1677</v>
      </c>
      <c r="N388" s="16" t="s">
        <v>1122</v>
      </c>
      <c r="O388" s="18" t="s">
        <v>1533</v>
      </c>
      <c r="P388" s="18" t="s">
        <v>1117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1120</v>
      </c>
      <c r="K389" s="18">
        <v>5019301</v>
      </c>
      <c r="L389" s="18">
        <v>858069</v>
      </c>
      <c r="M389" s="18" t="s">
        <v>1676</v>
      </c>
      <c r="N389" s="16" t="s">
        <v>1548</v>
      </c>
      <c r="O389" s="18" t="s">
        <v>1529</v>
      </c>
      <c r="P389" s="18" t="s">
        <v>1117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1120</v>
      </c>
      <c r="K390" s="18">
        <v>5019279</v>
      </c>
      <c r="L390" s="18">
        <v>858069</v>
      </c>
      <c r="M390" s="18" t="s">
        <v>1676</v>
      </c>
      <c r="N390" s="16" t="s">
        <v>1548</v>
      </c>
      <c r="O390" s="18" t="s">
        <v>1529</v>
      </c>
      <c r="P390" s="18" t="s">
        <v>1117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1120</v>
      </c>
      <c r="K391" s="18">
        <v>9758113</v>
      </c>
      <c r="L391" s="18">
        <v>857501</v>
      </c>
      <c r="M391" s="18" t="s">
        <v>1678</v>
      </c>
      <c r="N391" s="16" t="s">
        <v>1460</v>
      </c>
      <c r="O391" s="18" t="s">
        <v>1679</v>
      </c>
      <c r="P391" s="18" t="s">
        <v>1550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1120</v>
      </c>
      <c r="K392" s="18">
        <v>9758115</v>
      </c>
      <c r="L392" s="18">
        <v>857497</v>
      </c>
      <c r="M392" s="18" t="s">
        <v>1680</v>
      </c>
      <c r="N392" s="16" t="s">
        <v>1460</v>
      </c>
      <c r="O392" s="18" t="s">
        <v>1681</v>
      </c>
      <c r="P392" s="18" t="s">
        <v>1550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1120</v>
      </c>
      <c r="K393" s="18">
        <v>9758118</v>
      </c>
      <c r="L393" s="18">
        <v>857490</v>
      </c>
      <c r="M393" s="18" t="s">
        <v>1682</v>
      </c>
      <c r="N393" s="16" t="s">
        <v>1460</v>
      </c>
      <c r="O393" s="18" t="s">
        <v>1683</v>
      </c>
      <c r="P393" s="18" t="s">
        <v>1550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1196</v>
      </c>
      <c r="K394" s="18">
        <v>9756767</v>
      </c>
      <c r="L394" s="18">
        <v>857483</v>
      </c>
      <c r="M394" s="18" t="s">
        <v>1684</v>
      </c>
      <c r="N394" s="16" t="s">
        <v>1460</v>
      </c>
      <c r="O394" s="18" t="s">
        <v>1685</v>
      </c>
      <c r="P394" s="18" t="s">
        <v>1550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1082</v>
      </c>
      <c r="K395" s="18">
        <v>9756915</v>
      </c>
      <c r="L395" s="18">
        <v>871846</v>
      </c>
      <c r="M395" s="18" t="s">
        <v>1686</v>
      </c>
      <c r="N395" s="16" t="s">
        <v>1591</v>
      </c>
      <c r="O395" s="18" t="s">
        <v>1687</v>
      </c>
      <c r="P395" s="18" t="s">
        <v>1688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1120</v>
      </c>
      <c r="K396" s="18">
        <v>9756821</v>
      </c>
      <c r="L396" s="18">
        <v>861951</v>
      </c>
      <c r="M396" s="18" t="s">
        <v>1689</v>
      </c>
      <c r="N396" s="16" t="s">
        <v>1489</v>
      </c>
      <c r="O396" s="18" t="s">
        <v>1690</v>
      </c>
      <c r="P396" s="18" t="s">
        <v>1489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1082</v>
      </c>
      <c r="K397" s="18">
        <v>9756915</v>
      </c>
      <c r="L397" s="18">
        <v>871846</v>
      </c>
      <c r="M397" s="18" t="s">
        <v>1691</v>
      </c>
      <c r="N397" s="16" t="s">
        <v>1591</v>
      </c>
      <c r="O397" s="18" t="s">
        <v>1692</v>
      </c>
      <c r="P397" s="18" t="s">
        <v>1688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1082</v>
      </c>
      <c r="K398" s="18">
        <v>9756873</v>
      </c>
      <c r="L398" s="18">
        <v>861446</v>
      </c>
      <c r="M398" s="18" t="s">
        <v>1693</v>
      </c>
      <c r="N398" s="16" t="s">
        <v>1489</v>
      </c>
      <c r="O398" s="18" t="s">
        <v>1694</v>
      </c>
      <c r="P398" s="18" t="s">
        <v>1489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1196</v>
      </c>
      <c r="K399" s="18">
        <v>9756773</v>
      </c>
      <c r="L399" s="18">
        <v>864980</v>
      </c>
      <c r="M399" s="18" t="s">
        <v>1695</v>
      </c>
      <c r="N399" s="16" t="s">
        <v>1553</v>
      </c>
      <c r="O399" s="18" t="s">
        <v>1696</v>
      </c>
      <c r="P399" s="18" t="s">
        <v>1697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1120</v>
      </c>
      <c r="K400" s="18">
        <v>9756784</v>
      </c>
      <c r="L400" s="18">
        <v>864942</v>
      </c>
      <c r="M400" s="18" t="s">
        <v>1698</v>
      </c>
      <c r="N400" s="16" t="s">
        <v>1553</v>
      </c>
      <c r="O400" s="18" t="s">
        <v>1699</v>
      </c>
      <c r="P400" s="18" t="s">
        <v>1486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>
      <c r="A401" s="16">
        <v>46056</v>
      </c>
      <c r="B401" s="16">
        <v>46064</v>
      </c>
      <c r="C401" s="21" t="s">
        <v>1700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1196</v>
      </c>
      <c r="K401" s="18" t="s">
        <v>1701</v>
      </c>
      <c r="L401" s="18">
        <v>859948</v>
      </c>
      <c r="M401" s="18" t="s">
        <v>1702</v>
      </c>
      <c r="N401" s="16" t="s">
        <v>1489</v>
      </c>
      <c r="O401" s="18" t="s">
        <v>1703</v>
      </c>
      <c r="P401" s="18" t="s">
        <v>1489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1082</v>
      </c>
      <c r="K402" s="18">
        <v>9756949</v>
      </c>
      <c r="L402" s="18">
        <v>85723</v>
      </c>
      <c r="M402" s="18" t="s">
        <v>1092</v>
      </c>
      <c r="N402" s="16" t="s">
        <v>1092</v>
      </c>
      <c r="O402" s="18" t="s">
        <v>1092</v>
      </c>
      <c r="P402" s="18" t="s">
        <v>1092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1196</v>
      </c>
      <c r="K403" s="18">
        <v>9756867</v>
      </c>
      <c r="L403" s="18">
        <v>862007</v>
      </c>
      <c r="M403" s="18" t="s">
        <v>1704</v>
      </c>
      <c r="N403" s="16" t="s">
        <v>1489</v>
      </c>
      <c r="O403" s="18" t="s">
        <v>1705</v>
      </c>
      <c r="P403" s="18" t="s">
        <v>1124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1082</v>
      </c>
      <c r="K404" s="18">
        <v>9756873</v>
      </c>
      <c r="L404" s="18">
        <v>861446</v>
      </c>
      <c r="M404" s="18" t="s">
        <v>1706</v>
      </c>
      <c r="N404" s="16" t="s">
        <v>1489</v>
      </c>
      <c r="O404" s="18" t="s">
        <v>1707</v>
      </c>
      <c r="P404" s="18" t="s">
        <v>1124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1120</v>
      </c>
      <c r="K405" s="18">
        <v>9756787</v>
      </c>
      <c r="L405" s="18">
        <v>862067</v>
      </c>
      <c r="M405" s="18" t="s">
        <v>1708</v>
      </c>
      <c r="N405" s="16" t="s">
        <v>1553</v>
      </c>
      <c r="O405" s="18" t="s">
        <v>1709</v>
      </c>
      <c r="P405" s="18" t="s">
        <v>1486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1120</v>
      </c>
      <c r="K406" s="18">
        <v>9756833</v>
      </c>
      <c r="L406" s="18">
        <v>861858</v>
      </c>
      <c r="M406" s="18" t="s">
        <v>1710</v>
      </c>
      <c r="N406" s="16" t="s">
        <v>1489</v>
      </c>
      <c r="O406" s="18" t="s">
        <v>1711</v>
      </c>
      <c r="P406" s="18" t="s">
        <v>1489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1082</v>
      </c>
      <c r="K407" s="18">
        <v>9756871</v>
      </c>
      <c r="L407" s="18">
        <v>861262</v>
      </c>
      <c r="M407" s="18" t="s">
        <v>1712</v>
      </c>
      <c r="N407" s="16" t="s">
        <v>1117</v>
      </c>
      <c r="O407" s="18" t="s">
        <v>1713</v>
      </c>
      <c r="P407" s="18" t="s">
        <v>1546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1082</v>
      </c>
      <c r="K408" s="18">
        <v>9756949</v>
      </c>
      <c r="L408" s="18">
        <v>857323</v>
      </c>
      <c r="M408" s="18" t="s">
        <v>1714</v>
      </c>
      <c r="N408" s="16" t="s">
        <v>1117</v>
      </c>
      <c r="O408" s="18" t="s">
        <v>1715</v>
      </c>
      <c r="P408" s="18" t="s">
        <v>1124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1196</v>
      </c>
      <c r="K409" s="18">
        <v>9756867</v>
      </c>
      <c r="L409" s="18">
        <v>862007</v>
      </c>
      <c r="M409" s="18" t="s">
        <v>1716</v>
      </c>
      <c r="N409" s="16" t="s">
        <v>1489</v>
      </c>
      <c r="O409" s="18" t="s">
        <v>1717</v>
      </c>
      <c r="P409" s="18" t="s">
        <v>1489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1082</v>
      </c>
      <c r="K410" s="18">
        <v>9756913</v>
      </c>
      <c r="L410" s="18">
        <v>861280</v>
      </c>
      <c r="M410" s="18" t="s">
        <v>1718</v>
      </c>
      <c r="N410" s="16" t="s">
        <v>1117</v>
      </c>
      <c r="O410" s="18" t="s">
        <v>1719</v>
      </c>
      <c r="P410" s="18" t="s">
        <v>1489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1082</v>
      </c>
      <c r="K411" s="18">
        <v>9756937</v>
      </c>
      <c r="L411" s="18">
        <v>861263</v>
      </c>
      <c r="M411" s="18" t="s">
        <v>1720</v>
      </c>
      <c r="N411" s="16" t="s">
        <v>1117</v>
      </c>
      <c r="O411" s="18" t="s">
        <v>1721</v>
      </c>
      <c r="P411" s="18" t="s">
        <v>1546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1120</v>
      </c>
      <c r="K412" s="18">
        <v>9756784</v>
      </c>
      <c r="L412" s="18">
        <v>864942</v>
      </c>
      <c r="M412" s="18" t="s">
        <v>1722</v>
      </c>
      <c r="N412" s="16" t="s">
        <v>1553</v>
      </c>
      <c r="O412" s="18" t="s">
        <v>1723</v>
      </c>
      <c r="P412" s="18" t="s">
        <v>1697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1082</v>
      </c>
      <c r="K413" s="18">
        <v>9756909</v>
      </c>
      <c r="L413" s="18">
        <v>861342</v>
      </c>
      <c r="M413" s="18" t="s">
        <v>1724</v>
      </c>
      <c r="N413" s="16" t="s">
        <v>1117</v>
      </c>
      <c r="O413" s="18" t="s">
        <v>1725</v>
      </c>
      <c r="P413" s="18" t="s">
        <v>1124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1082</v>
      </c>
      <c r="K414" s="18">
        <v>9756937</v>
      </c>
      <c r="L414" s="18">
        <v>861263</v>
      </c>
      <c r="M414" s="18" t="s">
        <v>1726</v>
      </c>
      <c r="N414" s="16" t="s">
        <v>1117</v>
      </c>
      <c r="O414" s="18" t="s">
        <v>1727</v>
      </c>
      <c r="P414" s="18" t="s">
        <v>1124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1120</v>
      </c>
      <c r="K415" s="18">
        <v>9756810</v>
      </c>
      <c r="L415" s="18">
        <v>861989</v>
      </c>
      <c r="M415" s="18" t="s">
        <v>1728</v>
      </c>
      <c r="N415" s="16" t="s">
        <v>1489</v>
      </c>
      <c r="O415" s="18" t="s">
        <v>1729</v>
      </c>
      <c r="P415" s="18" t="s">
        <v>1489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1082</v>
      </c>
      <c r="K416" s="18">
        <v>9756913</v>
      </c>
      <c r="L416" s="18">
        <v>861280</v>
      </c>
      <c r="M416" s="18" t="s">
        <v>1730</v>
      </c>
      <c r="N416" s="16" t="s">
        <v>1117</v>
      </c>
      <c r="O416" s="18" t="s">
        <v>1731</v>
      </c>
      <c r="P416" s="18" t="s">
        <v>1124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1120</v>
      </c>
      <c r="K417" s="18">
        <v>9756787</v>
      </c>
      <c r="L417" s="18">
        <v>862067</v>
      </c>
      <c r="M417" s="18" t="s">
        <v>1732</v>
      </c>
      <c r="N417" s="16" t="s">
        <v>1553</v>
      </c>
      <c r="O417" s="18" t="s">
        <v>1733</v>
      </c>
      <c r="P417" s="18" t="s">
        <v>1697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1120</v>
      </c>
      <c r="K418" s="18">
        <v>9756810</v>
      </c>
      <c r="L418" s="18">
        <v>861989</v>
      </c>
      <c r="M418" s="18" t="s">
        <v>1734</v>
      </c>
      <c r="N418" s="16" t="s">
        <v>1489</v>
      </c>
      <c r="O418" s="18" t="s">
        <v>1735</v>
      </c>
      <c r="P418" s="18" t="s">
        <v>1124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1120</v>
      </c>
      <c r="K419" s="18">
        <v>9756833</v>
      </c>
      <c r="L419" s="18">
        <v>861858</v>
      </c>
      <c r="M419" s="18" t="s">
        <v>1736</v>
      </c>
      <c r="N419" s="16" t="s">
        <v>1489</v>
      </c>
      <c r="O419" s="18" t="s">
        <v>1737</v>
      </c>
      <c r="P419" s="18" t="s">
        <v>1124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1082</v>
      </c>
      <c r="K420" s="18">
        <v>9756871</v>
      </c>
      <c r="L420" s="18">
        <v>861262</v>
      </c>
      <c r="M420" s="18" t="s">
        <v>1738</v>
      </c>
      <c r="N420" s="16" t="s">
        <v>1117</v>
      </c>
      <c r="O420" s="18" t="s">
        <v>1739</v>
      </c>
      <c r="P420" s="18" t="s">
        <v>1489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1082</v>
      </c>
      <c r="K421" s="18">
        <v>9756909</v>
      </c>
      <c r="L421" s="18">
        <v>861342</v>
      </c>
      <c r="M421" s="18" t="s">
        <v>1740</v>
      </c>
      <c r="N421" s="16" t="s">
        <v>1117</v>
      </c>
      <c r="O421" s="18" t="s">
        <v>1741</v>
      </c>
      <c r="P421" s="18" t="s">
        <v>1489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1196</v>
      </c>
      <c r="K422" s="18">
        <v>9756773</v>
      </c>
      <c r="L422" s="18">
        <v>864980</v>
      </c>
      <c r="M422" s="18" t="s">
        <v>1742</v>
      </c>
      <c r="N422" s="16" t="s">
        <v>1553</v>
      </c>
      <c r="O422" s="18" t="s">
        <v>1743</v>
      </c>
      <c r="P422" s="18" t="s">
        <v>1486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>
      <c r="A423" s="16">
        <v>46056</v>
      </c>
      <c r="B423" s="16">
        <v>46064</v>
      </c>
      <c r="C423" s="21" t="s">
        <v>1744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1196</v>
      </c>
      <c r="K423" s="18" t="s">
        <v>1701</v>
      </c>
      <c r="L423" s="18">
        <v>859948</v>
      </c>
      <c r="M423" s="18" t="s">
        <v>1745</v>
      </c>
      <c r="N423" s="16" t="s">
        <v>1489</v>
      </c>
      <c r="O423" s="18" t="s">
        <v>1092</v>
      </c>
      <c r="P423" s="18" t="s">
        <v>1092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1120</v>
      </c>
      <c r="K424" s="18">
        <v>9756821</v>
      </c>
      <c r="L424" s="18">
        <v>861951</v>
      </c>
      <c r="M424" s="18" t="s">
        <v>1746</v>
      </c>
      <c r="N424" s="16" t="s">
        <v>1489</v>
      </c>
      <c r="O424" s="18" t="s">
        <v>1747</v>
      </c>
      <c r="P424" s="18" t="s">
        <v>1124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1196</v>
      </c>
      <c r="K425" s="18">
        <v>9758243</v>
      </c>
      <c r="L425" s="18">
        <v>857783</v>
      </c>
      <c r="M425" s="18" t="s">
        <v>1748</v>
      </c>
      <c r="N425" s="16" t="s">
        <v>1548</v>
      </c>
      <c r="O425" s="18" t="s">
        <v>1749</v>
      </c>
      <c r="P425" s="18" t="s">
        <v>1456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1196</v>
      </c>
      <c r="K426" s="18">
        <v>5019263</v>
      </c>
      <c r="L426" s="18">
        <v>857783</v>
      </c>
      <c r="M426" s="18" t="s">
        <v>1748</v>
      </c>
      <c r="N426" s="16" t="s">
        <v>1548</v>
      </c>
      <c r="O426" s="18" t="s">
        <v>1749</v>
      </c>
      <c r="P426" s="18" t="s">
        <v>1456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1082</v>
      </c>
      <c r="K427" s="18">
        <v>9757272</v>
      </c>
      <c r="L427" s="18">
        <v>857468</v>
      </c>
      <c r="M427" s="18" t="s">
        <v>1750</v>
      </c>
      <c r="N427" s="16" t="s">
        <v>1489</v>
      </c>
      <c r="O427" s="18" t="s">
        <v>1751</v>
      </c>
      <c r="P427" s="18" t="s">
        <v>1546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1082</v>
      </c>
      <c r="K428" s="18">
        <v>9757277</v>
      </c>
      <c r="L428" s="18">
        <v>857460</v>
      </c>
      <c r="M428" s="18" t="s">
        <v>1752</v>
      </c>
      <c r="N428" s="16" t="s">
        <v>1460</v>
      </c>
      <c r="O428" s="18" t="s">
        <v>1753</v>
      </c>
      <c r="P428" s="18" t="s">
        <v>1568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1120</v>
      </c>
      <c r="K429" s="18">
        <v>9756798</v>
      </c>
      <c r="L429" s="18">
        <v>857655</v>
      </c>
      <c r="M429" s="18" t="s">
        <v>1754</v>
      </c>
      <c r="N429" s="16" t="s">
        <v>1122</v>
      </c>
      <c r="O429" s="18" t="s">
        <v>1755</v>
      </c>
      <c r="P429" s="18" t="s">
        <v>1122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1082</v>
      </c>
      <c r="K430" s="18">
        <v>9757164</v>
      </c>
      <c r="L430" s="18">
        <v>857513</v>
      </c>
      <c r="M430" s="18" t="s">
        <v>1756</v>
      </c>
      <c r="N430" s="16" t="s">
        <v>1460</v>
      </c>
      <c r="O430" s="18" t="s">
        <v>1757</v>
      </c>
      <c r="P430" s="18" t="s">
        <v>1458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1299</v>
      </c>
      <c r="G431" s="22">
        <v>10384</v>
      </c>
      <c r="H431" s="22"/>
      <c r="I431" s="22">
        <f t="shared" si="7"/>
        <v>10384</v>
      </c>
      <c r="J431" s="18" t="s">
        <v>1120</v>
      </c>
      <c r="K431" s="18">
        <v>5019271</v>
      </c>
      <c r="L431" s="18">
        <v>857925</v>
      </c>
      <c r="M431" s="18" t="s">
        <v>1758</v>
      </c>
      <c r="N431" s="16" t="s">
        <v>1548</v>
      </c>
      <c r="O431" s="18" t="s">
        <v>1535</v>
      </c>
      <c r="P431" s="18" t="s">
        <v>1460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1293</v>
      </c>
      <c r="G432" s="22">
        <v>2075</v>
      </c>
      <c r="H432" s="22"/>
      <c r="I432" s="22">
        <f t="shared" si="7"/>
        <v>2075</v>
      </c>
      <c r="J432" s="18" t="s">
        <v>1120</v>
      </c>
      <c r="K432" s="18">
        <v>5019257</v>
      </c>
      <c r="L432" s="18">
        <v>857624</v>
      </c>
      <c r="M432" s="18" t="s">
        <v>1759</v>
      </c>
      <c r="N432" s="16" t="s">
        <v>1548</v>
      </c>
      <c r="O432" s="18" t="s">
        <v>1760</v>
      </c>
      <c r="P432" s="18" t="s">
        <v>1460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>
      <c r="A433" s="16">
        <v>46056</v>
      </c>
      <c r="B433" s="16">
        <v>46059</v>
      </c>
      <c r="C433" s="21" t="s">
        <v>1761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1297</v>
      </c>
      <c r="G433" s="22">
        <v>1733.4</v>
      </c>
      <c r="H433" s="22"/>
      <c r="I433" s="22">
        <f t="shared" si="7"/>
        <v>1733.4</v>
      </c>
      <c r="J433" s="18" t="s">
        <v>1120</v>
      </c>
      <c r="K433" s="18" t="s">
        <v>1762</v>
      </c>
      <c r="L433" s="18">
        <v>858058</v>
      </c>
      <c r="M433" s="18" t="s">
        <v>1763</v>
      </c>
      <c r="N433" s="16" t="s">
        <v>1122</v>
      </c>
      <c r="O433" s="18" t="s">
        <v>1531</v>
      </c>
      <c r="P433" s="18" t="s">
        <v>1460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>
      <c r="A434" s="16">
        <v>46056</v>
      </c>
      <c r="B434" s="16">
        <v>46059</v>
      </c>
      <c r="C434" s="21" t="s">
        <v>1764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1120</v>
      </c>
      <c r="K434" s="18" t="s">
        <v>1765</v>
      </c>
      <c r="L434" s="18">
        <v>857644</v>
      </c>
      <c r="M434" s="18" t="s">
        <v>1766</v>
      </c>
      <c r="N434" s="16" t="s">
        <v>1548</v>
      </c>
      <c r="O434" s="18" t="s">
        <v>1767</v>
      </c>
      <c r="P434" s="18" t="s">
        <v>1553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1120</v>
      </c>
      <c r="K435" s="18">
        <v>5019302</v>
      </c>
      <c r="L435" s="18">
        <v>857748</v>
      </c>
      <c r="M435" s="18" t="s">
        <v>1768</v>
      </c>
      <c r="N435" s="16" t="s">
        <v>1548</v>
      </c>
      <c r="O435" s="18" t="s">
        <v>1769</v>
      </c>
      <c r="P435" s="18" t="s">
        <v>1460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1082</v>
      </c>
      <c r="K436" s="18">
        <v>9757318</v>
      </c>
      <c r="L436" s="18">
        <v>857450</v>
      </c>
      <c r="M436" s="18" t="s">
        <v>1770</v>
      </c>
      <c r="N436" s="16" t="s">
        <v>1460</v>
      </c>
      <c r="O436" s="18" t="s">
        <v>1771</v>
      </c>
      <c r="P436" s="18" t="s">
        <v>1772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1196</v>
      </c>
      <c r="K437" s="18">
        <v>9758208</v>
      </c>
      <c r="L437" s="18">
        <v>857882</v>
      </c>
      <c r="M437" s="18" t="s">
        <v>1773</v>
      </c>
      <c r="N437" s="16" t="s">
        <v>1548</v>
      </c>
      <c r="O437" s="18" t="s">
        <v>1774</v>
      </c>
      <c r="P437" s="18" t="s">
        <v>1460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1196</v>
      </c>
      <c r="K438" s="18">
        <v>9758208</v>
      </c>
      <c r="L438" s="18">
        <v>857882</v>
      </c>
      <c r="M438" s="18" t="s">
        <v>1773</v>
      </c>
      <c r="N438" s="16" t="s">
        <v>1548</v>
      </c>
      <c r="O438" s="18" t="s">
        <v>1774</v>
      </c>
      <c r="P438" s="18" t="s">
        <v>1460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1248</v>
      </c>
      <c r="K439" s="18">
        <v>5019277</v>
      </c>
      <c r="L439" s="18" t="s">
        <v>1092</v>
      </c>
      <c r="M439" s="18" t="s">
        <v>1092</v>
      </c>
      <c r="N439" s="16" t="s">
        <v>1092</v>
      </c>
      <c r="O439" s="18" t="s">
        <v>1092</v>
      </c>
      <c r="P439" s="18" t="s">
        <v>1092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1248</v>
      </c>
      <c r="K440" s="18">
        <v>5019278</v>
      </c>
      <c r="L440" s="18" t="s">
        <v>1092</v>
      </c>
      <c r="M440" s="18" t="s">
        <v>1092</v>
      </c>
      <c r="N440" s="16" t="s">
        <v>1092</v>
      </c>
      <c r="O440" s="18" t="s">
        <v>1092</v>
      </c>
      <c r="P440" s="18" t="s">
        <v>1092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1120</v>
      </c>
      <c r="K441" s="18">
        <v>5019276</v>
      </c>
      <c r="L441" s="18" t="s">
        <v>1092</v>
      </c>
      <c r="M441" s="18" t="s">
        <v>1092</v>
      </c>
      <c r="N441" s="16" t="s">
        <v>1092</v>
      </c>
      <c r="O441" s="18" t="s">
        <v>1092</v>
      </c>
      <c r="P441" s="18" t="s">
        <v>1092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1082</v>
      </c>
      <c r="K442" s="18">
        <v>9757180</v>
      </c>
      <c r="L442" s="18">
        <v>865633</v>
      </c>
      <c r="M442" s="18" t="s">
        <v>1775</v>
      </c>
      <c r="N442" s="16" t="s">
        <v>1776</v>
      </c>
      <c r="O442" s="18" t="s">
        <v>1777</v>
      </c>
      <c r="P442" s="18" t="s">
        <v>1778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>
      <c r="A443" s="16">
        <v>46056</v>
      </c>
      <c r="B443" s="16">
        <v>46063</v>
      </c>
      <c r="C443" s="21" t="s">
        <v>1131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1082</v>
      </c>
      <c r="K443" s="18">
        <v>9757187</v>
      </c>
      <c r="L443" s="18">
        <v>859889</v>
      </c>
      <c r="M443" s="18" t="s">
        <v>1779</v>
      </c>
      <c r="N443" s="16" t="s">
        <v>1117</v>
      </c>
      <c r="O443" s="18" t="s">
        <v>1780</v>
      </c>
      <c r="P443" s="18" t="s">
        <v>1546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1082</v>
      </c>
      <c r="K444" s="18">
        <v>9758570</v>
      </c>
      <c r="L444" s="18">
        <v>858253</v>
      </c>
      <c r="M444" s="18" t="s">
        <v>1781</v>
      </c>
      <c r="N444" s="16" t="s">
        <v>1460</v>
      </c>
      <c r="O444" s="18" t="s">
        <v>1782</v>
      </c>
      <c r="P444" s="18" t="s">
        <v>1550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1196</v>
      </c>
      <c r="K445" s="18">
        <v>9758722</v>
      </c>
      <c r="L445" s="18">
        <v>857507</v>
      </c>
      <c r="M445" s="18" t="s">
        <v>1783</v>
      </c>
      <c r="N445" s="16" t="s">
        <v>1460</v>
      </c>
      <c r="O445" s="18" t="s">
        <v>1784</v>
      </c>
      <c r="P445" s="18" t="s">
        <v>1568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>
      <c r="A446" s="16">
        <v>46056</v>
      </c>
      <c r="B446" s="16">
        <v>46062</v>
      </c>
      <c r="C446" s="21" t="s">
        <v>1131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1082</v>
      </c>
      <c r="K446" s="18">
        <v>9758101</v>
      </c>
      <c r="L446" s="18" t="s">
        <v>1092</v>
      </c>
      <c r="M446" s="18" t="s">
        <v>1092</v>
      </c>
      <c r="N446" s="16" t="s">
        <v>1092</v>
      </c>
      <c r="O446" s="18" t="s">
        <v>1092</v>
      </c>
      <c r="P446" s="18" t="s">
        <v>1092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1077</v>
      </c>
      <c r="K447" s="18">
        <v>9757227</v>
      </c>
      <c r="L447" s="18">
        <v>857635</v>
      </c>
      <c r="M447" s="18" t="s">
        <v>1785</v>
      </c>
      <c r="N447" s="16" t="s">
        <v>1122</v>
      </c>
      <c r="O447" s="18" t="s">
        <v>1786</v>
      </c>
      <c r="P447" s="18" t="s">
        <v>1787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1131</v>
      </c>
      <c r="G448" s="22">
        <v>190</v>
      </c>
      <c r="H448" s="22"/>
      <c r="I448" s="22">
        <f t="shared" ref="I448:I511" si="8">G448+H448</f>
        <v>190</v>
      </c>
      <c r="J448" s="18" t="s">
        <v>1196</v>
      </c>
      <c r="K448" s="18">
        <v>9758711</v>
      </c>
      <c r="L448" s="18" t="s">
        <v>1092</v>
      </c>
      <c r="M448" s="18" t="s">
        <v>1092</v>
      </c>
      <c r="N448" s="16" t="s">
        <v>1092</v>
      </c>
      <c r="O448" s="18" t="s">
        <v>1092</v>
      </c>
      <c r="P448" s="18" t="s">
        <v>1092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>
      <c r="A449" s="16">
        <v>46056</v>
      </c>
      <c r="B449" s="16">
        <v>46059</v>
      </c>
      <c r="C449" s="21" t="s">
        <v>1131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1788</v>
      </c>
      <c r="G449" s="22">
        <v>38000</v>
      </c>
      <c r="H449" s="22"/>
      <c r="I449" s="22">
        <f t="shared" si="8"/>
        <v>38000</v>
      </c>
      <c r="J449" s="18" t="s">
        <v>1196</v>
      </c>
      <c r="K449" s="18">
        <v>5019266</v>
      </c>
      <c r="L449" s="18">
        <v>858140</v>
      </c>
      <c r="M449" s="18" t="s">
        <v>1789</v>
      </c>
      <c r="N449" s="16" t="s">
        <v>1548</v>
      </c>
      <c r="O449" s="18" t="s">
        <v>1790</v>
      </c>
      <c r="P449" s="18" t="s">
        <v>1776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1077</v>
      </c>
      <c r="K450" s="18">
        <v>9756792</v>
      </c>
      <c r="L450" s="18">
        <v>857664</v>
      </c>
      <c r="M450" s="18" t="s">
        <v>1791</v>
      </c>
      <c r="N450" s="16" t="s">
        <v>1548</v>
      </c>
      <c r="O450" s="18" t="s">
        <v>1792</v>
      </c>
      <c r="P450" s="18" t="s">
        <v>1124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1082</v>
      </c>
      <c r="K451" s="18">
        <v>9757086</v>
      </c>
      <c r="L451" s="18">
        <v>857474</v>
      </c>
      <c r="M451" s="18" t="s">
        <v>1793</v>
      </c>
      <c r="N451" s="16" t="s">
        <v>1460</v>
      </c>
      <c r="O451" s="18" t="s">
        <v>1794</v>
      </c>
      <c r="P451" s="18" t="s">
        <v>1483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>
      <c r="A452" s="16">
        <v>46056</v>
      </c>
      <c r="B452" s="16">
        <v>46062</v>
      </c>
      <c r="C452" s="21" t="s">
        <v>1131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1082</v>
      </c>
      <c r="K452" s="18">
        <v>9757096</v>
      </c>
      <c r="L452" s="18" t="s">
        <v>1092</v>
      </c>
      <c r="M452" s="18" t="s">
        <v>1092</v>
      </c>
      <c r="N452" s="16" t="s">
        <v>1092</v>
      </c>
      <c r="O452" s="18" t="s">
        <v>1092</v>
      </c>
      <c r="P452" s="18" t="s">
        <v>1092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1082</v>
      </c>
      <c r="K453" s="18">
        <v>9758073</v>
      </c>
      <c r="L453" s="18">
        <v>858161</v>
      </c>
      <c r="M453" s="18" t="s">
        <v>1795</v>
      </c>
      <c r="N453" s="16" t="s">
        <v>1122</v>
      </c>
      <c r="O453" s="18" t="s">
        <v>1796</v>
      </c>
      <c r="P453" s="18" t="s">
        <v>1460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1082</v>
      </c>
      <c r="K454" s="18">
        <v>9758161</v>
      </c>
      <c r="L454" s="18">
        <v>859923</v>
      </c>
      <c r="M454" s="18" t="s">
        <v>1797</v>
      </c>
      <c r="N454" s="16" t="s">
        <v>1117</v>
      </c>
      <c r="O454" s="18" t="s">
        <v>1798</v>
      </c>
      <c r="P454" s="18" t="s">
        <v>1799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>
      <c r="A455" s="16">
        <v>46056</v>
      </c>
      <c r="B455" s="16">
        <v>46062</v>
      </c>
      <c r="C455" s="21" t="s">
        <v>1131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1082</v>
      </c>
      <c r="K455" s="18">
        <v>9757091</v>
      </c>
      <c r="L455" s="18" t="s">
        <v>1092</v>
      </c>
      <c r="M455" s="18" t="s">
        <v>1092</v>
      </c>
      <c r="N455" s="16" t="s">
        <v>1092</v>
      </c>
      <c r="O455" s="18" t="s">
        <v>1092</v>
      </c>
      <c r="P455" s="18" t="s">
        <v>1092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1082</v>
      </c>
      <c r="K456" s="18">
        <v>9758077</v>
      </c>
      <c r="L456" s="18">
        <v>857495</v>
      </c>
      <c r="M456" s="18" t="s">
        <v>1800</v>
      </c>
      <c r="N456" s="16" t="s">
        <v>1460</v>
      </c>
      <c r="O456" s="18" t="s">
        <v>1801</v>
      </c>
      <c r="P456" s="18" t="s">
        <v>1802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1077</v>
      </c>
      <c r="K457" s="18">
        <v>5019256</v>
      </c>
      <c r="L457" s="18">
        <v>857630</v>
      </c>
      <c r="M457" s="18" t="s">
        <v>1803</v>
      </c>
      <c r="N457" s="16" t="s">
        <v>1122</v>
      </c>
      <c r="O457" s="18" t="s">
        <v>1116</v>
      </c>
      <c r="P457" s="18" t="s">
        <v>1548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1301</v>
      </c>
      <c r="G458" s="22">
        <v>10435</v>
      </c>
      <c r="H458" s="22"/>
      <c r="I458" s="22">
        <f t="shared" si="8"/>
        <v>10435</v>
      </c>
      <c r="J458" s="18" t="s">
        <v>1110</v>
      </c>
      <c r="K458" s="18">
        <v>5019268</v>
      </c>
      <c r="L458" s="18">
        <v>857695</v>
      </c>
      <c r="M458" s="18" t="s">
        <v>1804</v>
      </c>
      <c r="N458" s="16" t="s">
        <v>1548</v>
      </c>
      <c r="O458" s="18" t="s">
        <v>1097</v>
      </c>
      <c r="P458" s="18" t="s">
        <v>1124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1255</v>
      </c>
      <c r="G459" s="22">
        <v>1924</v>
      </c>
      <c r="H459" s="22"/>
      <c r="I459" s="22">
        <f t="shared" si="8"/>
        <v>1924</v>
      </c>
      <c r="J459" s="18" t="s">
        <v>1110</v>
      </c>
      <c r="K459" s="18">
        <v>5019267</v>
      </c>
      <c r="L459" s="18">
        <v>857695</v>
      </c>
      <c r="M459" s="18" t="s">
        <v>1804</v>
      </c>
      <c r="N459" s="16" t="s">
        <v>1548</v>
      </c>
      <c r="O459" s="18" t="s">
        <v>1097</v>
      </c>
      <c r="P459" s="18" t="s">
        <v>1124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>
      <c r="A460" s="16">
        <v>46059</v>
      </c>
      <c r="B460" s="16">
        <v>46059</v>
      </c>
      <c r="C460" s="21" t="s">
        <v>1131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1082</v>
      </c>
      <c r="K460" s="18">
        <v>9712873</v>
      </c>
      <c r="L460" s="18">
        <v>857802</v>
      </c>
      <c r="M460" s="18" t="s">
        <v>1805</v>
      </c>
      <c r="N460" s="16" t="s">
        <v>1122</v>
      </c>
      <c r="O460" s="18" t="s">
        <v>1806</v>
      </c>
      <c r="P460" s="18" t="s">
        <v>1807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>
      <c r="A461" s="16">
        <v>46059</v>
      </c>
      <c r="B461" s="16">
        <v>46059</v>
      </c>
      <c r="C461" s="21" t="s">
        <v>1131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1082</v>
      </c>
      <c r="K461" s="18">
        <v>9712873</v>
      </c>
      <c r="L461" s="18">
        <v>857802</v>
      </c>
      <c r="M461" s="18" t="s">
        <v>1808</v>
      </c>
      <c r="N461" s="16" t="s">
        <v>1122</v>
      </c>
      <c r="O461" s="18" t="s">
        <v>1809</v>
      </c>
      <c r="P461" s="18" t="s">
        <v>1460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1077</v>
      </c>
      <c r="K462" s="18">
        <v>9762804</v>
      </c>
      <c r="L462" s="18">
        <v>863909</v>
      </c>
      <c r="M462" s="18" t="s">
        <v>1810</v>
      </c>
      <c r="N462" s="16" t="s">
        <v>1811</v>
      </c>
      <c r="O462" s="18" t="s">
        <v>1812</v>
      </c>
      <c r="P462" s="18" t="s">
        <v>1813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1814</v>
      </c>
      <c r="G463" s="22">
        <v>15250</v>
      </c>
      <c r="H463" s="22"/>
      <c r="I463" s="22">
        <f t="shared" si="8"/>
        <v>15250</v>
      </c>
      <c r="J463" s="18" t="s">
        <v>1815</v>
      </c>
      <c r="K463" s="18">
        <v>9763620</v>
      </c>
      <c r="L463" s="18">
        <v>863083</v>
      </c>
      <c r="M463" s="18" t="s">
        <v>1816</v>
      </c>
      <c r="N463" s="16" t="s">
        <v>1553</v>
      </c>
      <c r="O463" s="18" t="s">
        <v>1817</v>
      </c>
      <c r="P463" s="18" t="s">
        <v>1818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1819</v>
      </c>
      <c r="G464" s="22">
        <v>5250</v>
      </c>
      <c r="H464" s="22"/>
      <c r="I464" s="22">
        <f t="shared" si="8"/>
        <v>5250</v>
      </c>
      <c r="J464" s="18" t="s">
        <v>1815</v>
      </c>
      <c r="K464" s="18">
        <v>9763593</v>
      </c>
      <c r="L464" s="18">
        <v>863083</v>
      </c>
      <c r="M464" s="18" t="s">
        <v>1816</v>
      </c>
      <c r="N464" s="16" t="s">
        <v>1553</v>
      </c>
      <c r="O464" s="18" t="s">
        <v>1817</v>
      </c>
      <c r="P464" s="18" t="s">
        <v>1818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1262</v>
      </c>
      <c r="K465" s="18">
        <v>9763203</v>
      </c>
      <c r="L465" s="18">
        <v>865614</v>
      </c>
      <c r="M465" s="18" t="s">
        <v>1820</v>
      </c>
      <c r="N465" s="16" t="s">
        <v>1594</v>
      </c>
      <c r="O465" s="18" t="s">
        <v>1821</v>
      </c>
      <c r="P465" s="18" t="s">
        <v>1822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1120</v>
      </c>
      <c r="K466" s="18">
        <v>9762881</v>
      </c>
      <c r="L466" s="18">
        <v>865332</v>
      </c>
      <c r="M466" s="18" t="s">
        <v>1823</v>
      </c>
      <c r="N466" s="16" t="s">
        <v>1430</v>
      </c>
      <c r="O466" s="18" t="s">
        <v>1824</v>
      </c>
      <c r="P466" s="18" t="s">
        <v>1825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1262</v>
      </c>
      <c r="K467" s="18">
        <v>9763205</v>
      </c>
      <c r="L467" s="18">
        <v>865425</v>
      </c>
      <c r="M467" s="18" t="s">
        <v>1826</v>
      </c>
      <c r="N467" s="16" t="s">
        <v>1430</v>
      </c>
      <c r="O467" s="18" t="s">
        <v>1827</v>
      </c>
      <c r="P467" s="18" t="s">
        <v>1594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1120</v>
      </c>
      <c r="K468" s="18">
        <v>9763050</v>
      </c>
      <c r="L468" s="18">
        <v>862696</v>
      </c>
      <c r="M468" s="18" t="s">
        <v>1828</v>
      </c>
      <c r="N468" s="16" t="s">
        <v>1124</v>
      </c>
      <c r="O468" s="18" t="s">
        <v>1829</v>
      </c>
      <c r="P468" s="18" t="s">
        <v>1830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1262</v>
      </c>
      <c r="K469" s="18">
        <v>9762641</v>
      </c>
      <c r="L469" s="18">
        <v>862709</v>
      </c>
      <c r="M469" s="18" t="s">
        <v>1831</v>
      </c>
      <c r="N469" s="16" t="s">
        <v>1124</v>
      </c>
      <c r="O469" s="18" t="s">
        <v>1832</v>
      </c>
      <c r="P469" s="18" t="s">
        <v>1553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1120</v>
      </c>
      <c r="K470" s="18">
        <v>9762803</v>
      </c>
      <c r="L470" s="18">
        <v>865009</v>
      </c>
      <c r="M470" s="18" t="s">
        <v>1833</v>
      </c>
      <c r="N470" s="16" t="s">
        <v>1553</v>
      </c>
      <c r="O470" s="18" t="s">
        <v>1834</v>
      </c>
      <c r="P470" s="18" t="s">
        <v>1835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1077</v>
      </c>
      <c r="K471" s="18" t="s">
        <v>1131</v>
      </c>
      <c r="L471" s="18">
        <v>865593</v>
      </c>
      <c r="M471" s="18" t="s">
        <v>1836</v>
      </c>
      <c r="N471" s="16" t="s">
        <v>1594</v>
      </c>
      <c r="O471" s="18" t="s">
        <v>1837</v>
      </c>
      <c r="P471" s="18" t="s">
        <v>1483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1077</v>
      </c>
      <c r="K472" s="18">
        <v>9762810</v>
      </c>
      <c r="L472" s="18">
        <v>865593</v>
      </c>
      <c r="M472" s="18" t="s">
        <v>1836</v>
      </c>
      <c r="N472" s="16" t="s">
        <v>1594</v>
      </c>
      <c r="O472" s="18" t="s">
        <v>1837</v>
      </c>
      <c r="P472" s="18" t="s">
        <v>1483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1077</v>
      </c>
      <c r="K473" s="18">
        <v>9762810</v>
      </c>
      <c r="L473" s="18">
        <v>865593</v>
      </c>
      <c r="M473" s="18" t="s">
        <v>1838</v>
      </c>
      <c r="N473" s="16" t="s">
        <v>1594</v>
      </c>
      <c r="O473" s="18" t="s">
        <v>1839</v>
      </c>
      <c r="P473" s="18" t="s">
        <v>1594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1262</v>
      </c>
      <c r="K474" s="18">
        <v>5019361</v>
      </c>
      <c r="L474" s="18">
        <v>862533</v>
      </c>
      <c r="M474" s="18" t="s">
        <v>1840</v>
      </c>
      <c r="N474" s="16" t="s">
        <v>1124</v>
      </c>
      <c r="O474" s="18" t="s">
        <v>1300</v>
      </c>
      <c r="P474" s="18" t="s">
        <v>1124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1196</v>
      </c>
      <c r="K475" s="18">
        <v>9762643</v>
      </c>
      <c r="L475" s="18">
        <v>861974</v>
      </c>
      <c r="M475" s="18" t="s">
        <v>1841</v>
      </c>
      <c r="N475" s="16" t="s">
        <v>1553</v>
      </c>
      <c r="O475" s="18" t="s">
        <v>1727</v>
      </c>
      <c r="P475" s="18" t="s">
        <v>1553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1262</v>
      </c>
      <c r="K476" s="18">
        <v>5019296</v>
      </c>
      <c r="L476" s="18">
        <v>861926</v>
      </c>
      <c r="M476" s="18" t="s">
        <v>1842</v>
      </c>
      <c r="N476" s="16" t="s">
        <v>1489</v>
      </c>
      <c r="O476" s="18" t="s">
        <v>1843</v>
      </c>
      <c r="P476" s="18" t="s">
        <v>1594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1262</v>
      </c>
      <c r="K477" s="18">
        <v>9762884</v>
      </c>
      <c r="L477" s="18">
        <v>867419</v>
      </c>
      <c r="M477" s="18" t="s">
        <v>1844</v>
      </c>
      <c r="N477" s="16" t="s">
        <v>1776</v>
      </c>
      <c r="O477" s="18" t="s">
        <v>1845</v>
      </c>
      <c r="P477" s="18" t="s">
        <v>1846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1262</v>
      </c>
      <c r="K478" s="18">
        <v>9762884</v>
      </c>
      <c r="L478" s="18">
        <v>867419</v>
      </c>
      <c r="M478" s="18" t="s">
        <v>1844</v>
      </c>
      <c r="N478" s="16" t="s">
        <v>1776</v>
      </c>
      <c r="O478" s="18" t="s">
        <v>1845</v>
      </c>
      <c r="P478" s="18" t="s">
        <v>1846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1120</v>
      </c>
      <c r="K479" s="18">
        <v>5019360</v>
      </c>
      <c r="L479" s="18">
        <v>860514</v>
      </c>
      <c r="M479" s="18" t="s">
        <v>1847</v>
      </c>
      <c r="N479" s="16" t="s">
        <v>1489</v>
      </c>
      <c r="O479" s="18" t="s">
        <v>1848</v>
      </c>
      <c r="P479" s="18" t="s">
        <v>1124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>
      <c r="A480" s="16">
        <v>46062</v>
      </c>
      <c r="B480" s="16">
        <v>46066</v>
      </c>
      <c r="C480" s="21" t="s">
        <v>1849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1077</v>
      </c>
      <c r="K480" s="18" t="s">
        <v>1850</v>
      </c>
      <c r="L480" s="18">
        <v>863876</v>
      </c>
      <c r="M480" s="18" t="s">
        <v>1851</v>
      </c>
      <c r="N480" s="16" t="s">
        <v>1811</v>
      </c>
      <c r="O480" s="18" t="s">
        <v>1852</v>
      </c>
      <c r="P480" s="18" t="s">
        <v>1483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1120</v>
      </c>
      <c r="K481" s="18">
        <v>5019297</v>
      </c>
      <c r="L481" s="18">
        <v>861936</v>
      </c>
      <c r="M481" s="18" t="s">
        <v>1853</v>
      </c>
      <c r="N481" s="16" t="s">
        <v>1489</v>
      </c>
      <c r="O481" s="18" t="s">
        <v>1854</v>
      </c>
      <c r="P481" s="18" t="s">
        <v>1124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1120</v>
      </c>
      <c r="K482" s="18">
        <v>5019299</v>
      </c>
      <c r="L482" s="18">
        <v>861929</v>
      </c>
      <c r="M482" s="18" t="s">
        <v>1855</v>
      </c>
      <c r="N482" s="16" t="s">
        <v>1489</v>
      </c>
      <c r="O482" s="18" t="s">
        <v>1856</v>
      </c>
      <c r="P482" s="18" t="s">
        <v>1124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1077</v>
      </c>
      <c r="K483" s="18">
        <v>9762640</v>
      </c>
      <c r="L483" s="18">
        <v>862034</v>
      </c>
      <c r="M483" s="18" t="s">
        <v>1857</v>
      </c>
      <c r="N483" s="16" t="s">
        <v>1489</v>
      </c>
      <c r="O483" s="18" t="s">
        <v>1858</v>
      </c>
      <c r="P483" s="18" t="s">
        <v>1124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1262</v>
      </c>
      <c r="K484" s="18">
        <v>9762642</v>
      </c>
      <c r="L484" s="18">
        <v>861994</v>
      </c>
      <c r="M484" s="18" t="s">
        <v>1859</v>
      </c>
      <c r="N484" s="16" t="s">
        <v>1489</v>
      </c>
      <c r="O484" s="18" t="s">
        <v>1860</v>
      </c>
      <c r="P484" s="18" t="s">
        <v>1124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1077</v>
      </c>
      <c r="K485" s="18">
        <v>5019406</v>
      </c>
      <c r="L485" s="18">
        <v>865539</v>
      </c>
      <c r="M485" s="18" t="s">
        <v>1861</v>
      </c>
      <c r="N485" s="16" t="s">
        <v>1594</v>
      </c>
      <c r="O485" s="18" t="s">
        <v>1862</v>
      </c>
      <c r="P485" s="18" t="s">
        <v>1483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1262</v>
      </c>
      <c r="K486" s="18">
        <v>9762817</v>
      </c>
      <c r="L486" s="18">
        <v>863938</v>
      </c>
      <c r="M486" s="18" t="s">
        <v>1863</v>
      </c>
      <c r="N486" s="16" t="s">
        <v>1811</v>
      </c>
      <c r="O486" s="18" t="s">
        <v>1864</v>
      </c>
      <c r="P486" s="18" t="s">
        <v>1611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1262</v>
      </c>
      <c r="K487" s="18">
        <v>9762883</v>
      </c>
      <c r="L487" s="18">
        <v>863921</v>
      </c>
      <c r="M487" s="18" t="s">
        <v>1865</v>
      </c>
      <c r="N487" s="16" t="s">
        <v>1811</v>
      </c>
      <c r="O487" s="18" t="s">
        <v>1866</v>
      </c>
      <c r="P487" s="18" t="s">
        <v>1611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1262</v>
      </c>
      <c r="K488" s="18">
        <v>9763659</v>
      </c>
      <c r="L488" s="18">
        <v>886070</v>
      </c>
      <c r="M488" s="18" t="s">
        <v>1867</v>
      </c>
      <c r="N488" s="16" t="s">
        <v>1868</v>
      </c>
      <c r="O488" s="18" t="s">
        <v>1869</v>
      </c>
      <c r="P488" s="18" t="s">
        <v>1870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1262</v>
      </c>
      <c r="K489" s="18">
        <v>9763686</v>
      </c>
      <c r="L489" s="18">
        <v>872155</v>
      </c>
      <c r="M489" s="18" t="s">
        <v>1871</v>
      </c>
      <c r="N489" s="16" t="s">
        <v>1872</v>
      </c>
      <c r="O489" s="18" t="s">
        <v>1873</v>
      </c>
      <c r="P489" s="18" t="s">
        <v>1697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1262</v>
      </c>
      <c r="K490" s="18">
        <v>9763681</v>
      </c>
      <c r="L490" s="18">
        <v>871764</v>
      </c>
      <c r="M490" s="18" t="s">
        <v>1874</v>
      </c>
      <c r="N490" s="16" t="s">
        <v>1872</v>
      </c>
      <c r="O490" s="18" t="s">
        <v>1875</v>
      </c>
      <c r="P490" s="18" t="s">
        <v>1876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1262</v>
      </c>
      <c r="K491" s="18">
        <v>9763686</v>
      </c>
      <c r="L491" s="18">
        <v>872155</v>
      </c>
      <c r="M491" s="18" t="s">
        <v>1877</v>
      </c>
      <c r="N491" s="16" t="s">
        <v>1872</v>
      </c>
      <c r="O491" s="18" t="s">
        <v>1878</v>
      </c>
      <c r="P491" s="18" t="s">
        <v>1486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1262</v>
      </c>
      <c r="K492" s="18">
        <v>9763681</v>
      </c>
      <c r="L492" s="18">
        <v>871764</v>
      </c>
      <c r="M492" s="18" t="s">
        <v>1879</v>
      </c>
      <c r="N492" s="16" t="s">
        <v>1872</v>
      </c>
      <c r="O492" s="18" t="s">
        <v>1880</v>
      </c>
      <c r="P492" s="18" t="s">
        <v>1486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1120</v>
      </c>
      <c r="K493" s="18">
        <v>9763648</v>
      </c>
      <c r="L493" s="18">
        <v>871617</v>
      </c>
      <c r="M493" s="18" t="s">
        <v>1881</v>
      </c>
      <c r="N493" s="16" t="s">
        <v>1882</v>
      </c>
      <c r="O493" s="18" t="s">
        <v>1883</v>
      </c>
      <c r="P493" s="18" t="s">
        <v>1697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1262</v>
      </c>
      <c r="K494" s="18">
        <v>9763656</v>
      </c>
      <c r="L494" s="18">
        <v>872043</v>
      </c>
      <c r="M494" s="18" t="s">
        <v>1884</v>
      </c>
      <c r="N494" s="16" t="s">
        <v>1882</v>
      </c>
      <c r="O494" s="18" t="s">
        <v>1885</v>
      </c>
      <c r="P494" s="18" t="s">
        <v>1697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1262</v>
      </c>
      <c r="K495" s="18">
        <v>9763656</v>
      </c>
      <c r="L495" s="18">
        <v>872043</v>
      </c>
      <c r="M495" s="18" t="s">
        <v>1886</v>
      </c>
      <c r="N495" s="16" t="s">
        <v>1882</v>
      </c>
      <c r="O495" s="18" t="s">
        <v>1887</v>
      </c>
      <c r="P495" s="18" t="s">
        <v>1486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1120</v>
      </c>
      <c r="K496" s="18">
        <v>9763646</v>
      </c>
      <c r="L496" s="18">
        <v>869671</v>
      </c>
      <c r="M496" s="18" t="s">
        <v>1888</v>
      </c>
      <c r="N496" s="16" t="s">
        <v>1889</v>
      </c>
      <c r="O496" s="18" t="s">
        <v>1890</v>
      </c>
      <c r="P496" s="18" t="s">
        <v>1486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1262</v>
      </c>
      <c r="K497" s="18">
        <v>9763682</v>
      </c>
      <c r="L497" s="18">
        <v>872123</v>
      </c>
      <c r="M497" s="18" t="s">
        <v>1891</v>
      </c>
      <c r="N497" s="16" t="s">
        <v>1882</v>
      </c>
      <c r="O497" s="18" t="s">
        <v>1892</v>
      </c>
      <c r="P497" s="18" t="s">
        <v>1697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1262</v>
      </c>
      <c r="K498" s="18">
        <v>9763683</v>
      </c>
      <c r="L498" s="18">
        <v>871752</v>
      </c>
      <c r="M498" s="18" t="s">
        <v>1893</v>
      </c>
      <c r="N498" s="16" t="s">
        <v>1882</v>
      </c>
      <c r="O498" s="18" t="s">
        <v>1894</v>
      </c>
      <c r="P498" s="18" t="s">
        <v>1697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1120</v>
      </c>
      <c r="K499" s="18">
        <v>9763653</v>
      </c>
      <c r="L499" s="18">
        <v>869380</v>
      </c>
      <c r="M499" s="18" t="s">
        <v>1895</v>
      </c>
      <c r="N499" s="16" t="s">
        <v>1818</v>
      </c>
      <c r="O499" s="18" t="s">
        <v>1896</v>
      </c>
      <c r="P499" s="18" t="s">
        <v>1486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1120</v>
      </c>
      <c r="K500" s="18">
        <v>9763653</v>
      </c>
      <c r="L500" s="18">
        <v>869380</v>
      </c>
      <c r="M500" s="18" t="s">
        <v>1897</v>
      </c>
      <c r="N500" s="16" t="s">
        <v>1818</v>
      </c>
      <c r="O500" s="18" t="s">
        <v>1898</v>
      </c>
      <c r="P500" s="18" t="s">
        <v>1899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1262</v>
      </c>
      <c r="K501" s="18">
        <v>9763690</v>
      </c>
      <c r="L501" s="18">
        <v>872284</v>
      </c>
      <c r="M501" s="18" t="s">
        <v>1900</v>
      </c>
      <c r="N501" s="16" t="s">
        <v>1882</v>
      </c>
      <c r="O501" s="18" t="s">
        <v>1901</v>
      </c>
      <c r="P501" s="18" t="s">
        <v>1697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1262</v>
      </c>
      <c r="K502" s="18">
        <v>9763659</v>
      </c>
      <c r="L502" s="18">
        <v>886070</v>
      </c>
      <c r="M502" s="18" t="s">
        <v>1902</v>
      </c>
      <c r="N502" s="16" t="s">
        <v>1868</v>
      </c>
      <c r="O502" s="18" t="s">
        <v>1903</v>
      </c>
      <c r="P502" s="18" t="s">
        <v>1868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1120</v>
      </c>
      <c r="K503" s="18">
        <v>9763646</v>
      </c>
      <c r="L503" s="18">
        <v>869671</v>
      </c>
      <c r="M503" s="18" t="s">
        <v>1904</v>
      </c>
      <c r="N503" s="16" t="s">
        <v>1889</v>
      </c>
      <c r="O503" s="18" t="s">
        <v>1905</v>
      </c>
      <c r="P503" s="18" t="s">
        <v>1697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1120</v>
      </c>
      <c r="K504" s="18">
        <v>5019370</v>
      </c>
      <c r="L504" s="18">
        <v>871848</v>
      </c>
      <c r="M504" s="18" t="s">
        <v>1906</v>
      </c>
      <c r="N504" s="16" t="s">
        <v>1882</v>
      </c>
      <c r="O504" s="18" t="s">
        <v>1907</v>
      </c>
      <c r="P504" s="18" t="s">
        <v>1697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1120</v>
      </c>
      <c r="K505" s="18">
        <v>9763648</v>
      </c>
      <c r="L505" s="18">
        <v>871617</v>
      </c>
      <c r="M505" s="18" t="s">
        <v>1908</v>
      </c>
      <c r="N505" s="16" t="s">
        <v>1882</v>
      </c>
      <c r="O505" s="18" t="s">
        <v>1909</v>
      </c>
      <c r="P505" s="18" t="s">
        <v>1486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1120</v>
      </c>
      <c r="K506" s="18">
        <v>5019370</v>
      </c>
      <c r="L506" s="18">
        <v>871848</v>
      </c>
      <c r="M506" s="18" t="s">
        <v>1910</v>
      </c>
      <c r="N506" s="16" t="s">
        <v>1882</v>
      </c>
      <c r="O506" s="18" t="s">
        <v>1911</v>
      </c>
      <c r="P506" s="18" t="s">
        <v>1486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1262</v>
      </c>
      <c r="K507" s="18">
        <v>9763682</v>
      </c>
      <c r="L507" s="18">
        <v>872123</v>
      </c>
      <c r="M507" s="18" t="s">
        <v>1912</v>
      </c>
      <c r="N507" s="16" t="s">
        <v>1882</v>
      </c>
      <c r="O507" s="18" t="s">
        <v>1913</v>
      </c>
      <c r="P507" s="18" t="s">
        <v>1486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1262</v>
      </c>
      <c r="K508" s="18">
        <v>9763690</v>
      </c>
      <c r="L508" s="18">
        <v>872284</v>
      </c>
      <c r="M508" s="18" t="s">
        <v>1914</v>
      </c>
      <c r="N508" s="16" t="s">
        <v>1882</v>
      </c>
      <c r="O508" s="18" t="s">
        <v>1915</v>
      </c>
      <c r="P508" s="18" t="s">
        <v>1486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1262</v>
      </c>
      <c r="K509" s="18">
        <v>9763683</v>
      </c>
      <c r="L509" s="18">
        <v>871752</v>
      </c>
      <c r="M509" s="18" t="s">
        <v>1916</v>
      </c>
      <c r="N509" s="16" t="s">
        <v>1882</v>
      </c>
      <c r="O509" s="18" t="s">
        <v>1917</v>
      </c>
      <c r="P509" s="18" t="s">
        <v>1486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1262</v>
      </c>
      <c r="K510" s="18">
        <v>9763171</v>
      </c>
      <c r="L510" s="18">
        <v>867018</v>
      </c>
      <c r="M510" s="18" t="s">
        <v>1918</v>
      </c>
      <c r="N510" s="16" t="s">
        <v>1818</v>
      </c>
      <c r="O510" s="18" t="s">
        <v>1919</v>
      </c>
      <c r="P510" s="18" t="s">
        <v>1920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1262</v>
      </c>
      <c r="K511" s="18">
        <v>9762887</v>
      </c>
      <c r="L511" s="18">
        <v>865357</v>
      </c>
      <c r="M511" s="18" t="s">
        <v>1921</v>
      </c>
      <c r="N511" s="16" t="s">
        <v>1430</v>
      </c>
      <c r="O511" s="18" t="s">
        <v>1922</v>
      </c>
      <c r="P511" s="18" t="s">
        <v>1923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1262</v>
      </c>
      <c r="K512" s="18">
        <v>9763175</v>
      </c>
      <c r="L512" s="18">
        <v>865566</v>
      </c>
      <c r="M512" s="18" t="s">
        <v>1924</v>
      </c>
      <c r="N512" s="16" t="s">
        <v>1776</v>
      </c>
      <c r="O512" s="18" t="s">
        <v>1925</v>
      </c>
      <c r="P512" s="18" t="s">
        <v>1778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>
      <c r="A513" s="16">
        <v>46062</v>
      </c>
      <c r="B513" s="16">
        <v>46069</v>
      </c>
      <c r="C513" s="21" t="s">
        <v>1131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1262</v>
      </c>
      <c r="K513" s="18">
        <v>9763167</v>
      </c>
      <c r="L513" s="18">
        <v>865338</v>
      </c>
      <c r="M513" s="18" t="s">
        <v>1926</v>
      </c>
      <c r="N513" s="16" t="s">
        <v>1430</v>
      </c>
      <c r="O513" s="18" t="s">
        <v>1927</v>
      </c>
      <c r="P513" s="18" t="s">
        <v>1776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1262</v>
      </c>
      <c r="K514" s="18">
        <v>9763200</v>
      </c>
      <c r="L514" s="18">
        <v>865280</v>
      </c>
      <c r="M514" s="18" t="s">
        <v>1928</v>
      </c>
      <c r="N514" s="16" t="s">
        <v>1430</v>
      </c>
      <c r="O514" s="18" t="s">
        <v>1929</v>
      </c>
      <c r="P514" s="18" t="s">
        <v>1776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1196</v>
      </c>
      <c r="K515" s="18">
        <v>9763696</v>
      </c>
      <c r="L515" s="18">
        <v>863961</v>
      </c>
      <c r="M515" s="18" t="s">
        <v>1930</v>
      </c>
      <c r="N515" s="16" t="s">
        <v>1811</v>
      </c>
      <c r="O515" s="18" t="s">
        <v>1931</v>
      </c>
      <c r="P515" s="18" t="s">
        <v>1932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1196</v>
      </c>
      <c r="K516" s="18">
        <v>9763800</v>
      </c>
      <c r="L516" s="18">
        <v>864936</v>
      </c>
      <c r="M516" s="18" t="s">
        <v>1933</v>
      </c>
      <c r="N516" s="16" t="s">
        <v>1553</v>
      </c>
      <c r="O516" s="18" t="s">
        <v>1934</v>
      </c>
      <c r="P516" s="18" t="s">
        <v>1935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1196</v>
      </c>
      <c r="K517" s="18">
        <v>9763216</v>
      </c>
      <c r="L517" s="18">
        <v>863820</v>
      </c>
      <c r="M517" s="18" t="s">
        <v>1936</v>
      </c>
      <c r="N517" s="16" t="s">
        <v>1811</v>
      </c>
      <c r="O517" s="18" t="s">
        <v>1937</v>
      </c>
      <c r="P517" s="18" t="s">
        <v>1938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1196</v>
      </c>
      <c r="K518" s="18">
        <v>9763210</v>
      </c>
      <c r="L518" s="18">
        <v>863840</v>
      </c>
      <c r="M518" s="18" t="s">
        <v>1939</v>
      </c>
      <c r="N518" s="16" t="s">
        <v>1811</v>
      </c>
      <c r="O518" s="18" t="s">
        <v>1940</v>
      </c>
      <c r="P518" s="18" t="s">
        <v>1935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1196</v>
      </c>
      <c r="K519" s="18">
        <v>9763694</v>
      </c>
      <c r="L519" s="18">
        <v>865044</v>
      </c>
      <c r="M519" s="18" t="s">
        <v>1941</v>
      </c>
      <c r="N519" s="16" t="s">
        <v>1553</v>
      </c>
      <c r="O519" s="18" t="s">
        <v>1942</v>
      </c>
      <c r="P519" s="18" t="s">
        <v>1935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1196</v>
      </c>
      <c r="K520" s="18">
        <v>9763241</v>
      </c>
      <c r="L520" s="18">
        <v>863690</v>
      </c>
      <c r="M520" s="18" t="s">
        <v>1943</v>
      </c>
      <c r="N520" s="16" t="s">
        <v>1811</v>
      </c>
      <c r="O520" s="18" t="s">
        <v>1944</v>
      </c>
      <c r="P520" s="18" t="s">
        <v>1932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1196</v>
      </c>
      <c r="K521" s="18">
        <v>9763242</v>
      </c>
      <c r="L521" s="18">
        <v>866598</v>
      </c>
      <c r="M521" s="18" t="s">
        <v>1945</v>
      </c>
      <c r="N521" s="16" t="s">
        <v>1594</v>
      </c>
      <c r="O521" s="18" t="s">
        <v>1946</v>
      </c>
      <c r="P521" s="18" t="s">
        <v>1935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1196</v>
      </c>
      <c r="K522" s="18">
        <v>9763303</v>
      </c>
      <c r="L522" s="18">
        <v>865466</v>
      </c>
      <c r="M522" s="18" t="s">
        <v>1947</v>
      </c>
      <c r="N522" s="16" t="s">
        <v>1430</v>
      </c>
      <c r="O522" s="18" t="s">
        <v>1948</v>
      </c>
      <c r="P522" s="18" t="s">
        <v>1932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1196</v>
      </c>
      <c r="K523" s="18">
        <v>9763305</v>
      </c>
      <c r="L523" s="18">
        <v>865305</v>
      </c>
      <c r="M523" s="18" t="s">
        <v>1949</v>
      </c>
      <c r="N523" s="16" t="s">
        <v>1430</v>
      </c>
      <c r="O523" s="18" t="s">
        <v>1950</v>
      </c>
      <c r="P523" s="18" t="s">
        <v>1932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1196</v>
      </c>
      <c r="K524" s="18">
        <v>9763301</v>
      </c>
      <c r="L524" s="18">
        <v>865078</v>
      </c>
      <c r="M524" s="18" t="s">
        <v>1951</v>
      </c>
      <c r="N524" s="16" t="s">
        <v>1553</v>
      </c>
      <c r="O524" s="18" t="s">
        <v>1952</v>
      </c>
      <c r="P524" s="18" t="s">
        <v>1932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1196</v>
      </c>
      <c r="K525" s="18">
        <v>9763307</v>
      </c>
      <c r="L525" s="18">
        <v>865368</v>
      </c>
      <c r="M525" s="18" t="s">
        <v>1953</v>
      </c>
      <c r="N525" s="16" t="s">
        <v>1430</v>
      </c>
      <c r="O525" s="18" t="s">
        <v>1954</v>
      </c>
      <c r="P525" s="18" t="s">
        <v>1932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1196</v>
      </c>
      <c r="K526" s="18">
        <v>9763309</v>
      </c>
      <c r="L526" s="18">
        <v>865403</v>
      </c>
      <c r="M526" s="18" t="s">
        <v>1955</v>
      </c>
      <c r="N526" s="16" t="s">
        <v>1430</v>
      </c>
      <c r="O526" s="18" t="s">
        <v>1956</v>
      </c>
      <c r="P526" s="18" t="s">
        <v>1932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1196</v>
      </c>
      <c r="K527" s="18">
        <v>9763248</v>
      </c>
      <c r="L527" s="18">
        <v>866581</v>
      </c>
      <c r="M527" s="18" t="s">
        <v>1957</v>
      </c>
      <c r="N527" s="16" t="s">
        <v>1594</v>
      </c>
      <c r="O527" s="18" t="s">
        <v>1958</v>
      </c>
      <c r="P527" s="18" t="s">
        <v>1935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1196</v>
      </c>
      <c r="K528" s="18">
        <v>9763254</v>
      </c>
      <c r="L528" s="18">
        <v>866513</v>
      </c>
      <c r="M528" s="18" t="s">
        <v>1959</v>
      </c>
      <c r="N528" s="16" t="s">
        <v>1430</v>
      </c>
      <c r="O528" s="18" t="s">
        <v>1960</v>
      </c>
      <c r="P528" s="18" t="s">
        <v>1935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1196</v>
      </c>
      <c r="K529" s="18">
        <v>9763249</v>
      </c>
      <c r="L529" s="18">
        <v>866551</v>
      </c>
      <c r="M529" s="18" t="s">
        <v>1961</v>
      </c>
      <c r="N529" s="16" t="s">
        <v>1594</v>
      </c>
      <c r="O529" s="18" t="s">
        <v>1962</v>
      </c>
      <c r="P529" s="18" t="s">
        <v>1935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1196</v>
      </c>
      <c r="K530" s="18">
        <v>9763256</v>
      </c>
      <c r="L530" s="18">
        <v>866461</v>
      </c>
      <c r="M530" s="18" t="s">
        <v>1963</v>
      </c>
      <c r="N530" s="16" t="s">
        <v>1430</v>
      </c>
      <c r="O530" s="18" t="s">
        <v>1964</v>
      </c>
      <c r="P530" s="18" t="s">
        <v>1935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1196</v>
      </c>
      <c r="K531" s="18">
        <v>9763306</v>
      </c>
      <c r="L531" s="18">
        <v>865331</v>
      </c>
      <c r="M531" s="18" t="s">
        <v>1965</v>
      </c>
      <c r="N531" s="16" t="s">
        <v>1430</v>
      </c>
      <c r="O531" s="18" t="s">
        <v>1966</v>
      </c>
      <c r="P531" s="18" t="s">
        <v>1932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1196</v>
      </c>
      <c r="K532" s="18">
        <v>9763259</v>
      </c>
      <c r="L532" s="18">
        <v>865236</v>
      </c>
      <c r="M532" s="18" t="s">
        <v>1967</v>
      </c>
      <c r="N532" s="16" t="s">
        <v>1430</v>
      </c>
      <c r="O532" s="18" t="s">
        <v>1968</v>
      </c>
      <c r="P532" s="18" t="s">
        <v>1935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1196</v>
      </c>
      <c r="K533" s="18">
        <v>9763258</v>
      </c>
      <c r="L533" s="18">
        <v>865279</v>
      </c>
      <c r="M533" s="18" t="s">
        <v>1969</v>
      </c>
      <c r="N533" s="16" t="s">
        <v>1430</v>
      </c>
      <c r="O533" s="18" t="s">
        <v>1970</v>
      </c>
      <c r="P533" s="18" t="s">
        <v>1932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1196</v>
      </c>
      <c r="K534" s="18">
        <v>5019295</v>
      </c>
      <c r="L534" s="18">
        <v>861962</v>
      </c>
      <c r="M534" s="18" t="s">
        <v>1971</v>
      </c>
      <c r="N534" s="16" t="s">
        <v>1489</v>
      </c>
      <c r="O534" s="18" t="s">
        <v>1972</v>
      </c>
      <c r="P534" s="18" t="s">
        <v>1124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1196</v>
      </c>
      <c r="K535" s="18">
        <v>9763257</v>
      </c>
      <c r="L535" s="18">
        <v>872890</v>
      </c>
      <c r="M535" s="18" t="s">
        <v>1973</v>
      </c>
      <c r="N535" s="16" t="s">
        <v>1697</v>
      </c>
      <c r="O535" s="18" t="s">
        <v>1974</v>
      </c>
      <c r="P535" s="18" t="s">
        <v>1975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1082</v>
      </c>
      <c r="K536" s="18">
        <v>9762649</v>
      </c>
      <c r="L536" s="18" t="s">
        <v>1092</v>
      </c>
      <c r="M536" s="18" t="s">
        <v>1092</v>
      </c>
      <c r="N536" s="16" t="s">
        <v>1092</v>
      </c>
      <c r="O536" s="18" t="s">
        <v>1092</v>
      </c>
      <c r="P536" s="18" t="s">
        <v>1092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1295</v>
      </c>
      <c r="G537" s="22">
        <v>10444</v>
      </c>
      <c r="H537" s="22"/>
      <c r="I537" s="22">
        <f t="shared" si="9"/>
        <v>10444</v>
      </c>
      <c r="J537" s="18" t="s">
        <v>1120</v>
      </c>
      <c r="K537" s="18">
        <v>5019405</v>
      </c>
      <c r="L537" s="18">
        <v>863002</v>
      </c>
      <c r="M537" s="18" t="s">
        <v>1976</v>
      </c>
      <c r="N537" s="16" t="s">
        <v>1124</v>
      </c>
      <c r="O537" s="18" t="s">
        <v>1533</v>
      </c>
      <c r="P537" s="18" t="s">
        <v>1882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1305</v>
      </c>
      <c r="G538" s="22">
        <v>2362.5</v>
      </c>
      <c r="H538" s="22"/>
      <c r="I538" s="22">
        <f t="shared" si="9"/>
        <v>2362.5</v>
      </c>
      <c r="J538" s="18" t="s">
        <v>1120</v>
      </c>
      <c r="K538" s="18">
        <v>5019403</v>
      </c>
      <c r="L538" s="18">
        <v>863002</v>
      </c>
      <c r="M538" s="18" t="s">
        <v>1976</v>
      </c>
      <c r="N538" s="16" t="s">
        <v>1124</v>
      </c>
      <c r="O538" s="18" t="s">
        <v>1533</v>
      </c>
      <c r="P538" s="18" t="s">
        <v>1882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1307</v>
      </c>
      <c r="G539" s="22">
        <v>2020</v>
      </c>
      <c r="H539" s="22"/>
      <c r="I539" s="22">
        <f t="shared" si="9"/>
        <v>2020</v>
      </c>
      <c r="J539" s="18" t="s">
        <v>1120</v>
      </c>
      <c r="K539" s="18">
        <v>5019404</v>
      </c>
      <c r="L539" s="18">
        <v>863002</v>
      </c>
      <c r="M539" s="18" t="s">
        <v>1976</v>
      </c>
      <c r="N539" s="16" t="s">
        <v>1124</v>
      </c>
      <c r="O539" s="18" t="s">
        <v>1533</v>
      </c>
      <c r="P539" s="18" t="s">
        <v>1882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>
      <c r="A540" s="16">
        <v>46062</v>
      </c>
      <c r="B540" s="16">
        <v>46066</v>
      </c>
      <c r="C540" s="21" t="s">
        <v>1977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1120</v>
      </c>
      <c r="K540" s="18" t="s">
        <v>1978</v>
      </c>
      <c r="L540" s="18">
        <v>863637</v>
      </c>
      <c r="M540" s="18" t="s">
        <v>1979</v>
      </c>
      <c r="N540" s="16" t="s">
        <v>1553</v>
      </c>
      <c r="O540" s="18" t="s">
        <v>1980</v>
      </c>
      <c r="P540" s="18" t="s">
        <v>1813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>
      <c r="A541" s="16">
        <v>46062</v>
      </c>
      <c r="B541" s="16">
        <v>46069</v>
      </c>
      <c r="C541" s="21" t="s">
        <v>1981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1120</v>
      </c>
      <c r="K541" s="18" t="s">
        <v>1982</v>
      </c>
      <c r="L541" s="18">
        <v>865495</v>
      </c>
      <c r="M541" s="18" t="s">
        <v>1983</v>
      </c>
      <c r="N541" s="16" t="s">
        <v>1430</v>
      </c>
      <c r="O541" s="18" t="s">
        <v>1984</v>
      </c>
      <c r="P541" s="18" t="s">
        <v>1483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1120</v>
      </c>
      <c r="K542" s="18">
        <v>5019371</v>
      </c>
      <c r="L542" s="18">
        <v>863878</v>
      </c>
      <c r="M542" s="18" t="s">
        <v>1985</v>
      </c>
      <c r="N542" s="16" t="s">
        <v>1811</v>
      </c>
      <c r="O542" s="18" t="s">
        <v>1986</v>
      </c>
      <c r="P542" s="18" t="s">
        <v>1813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1120</v>
      </c>
      <c r="K543" s="18">
        <v>5019410</v>
      </c>
      <c r="L543" s="18">
        <v>869608</v>
      </c>
      <c r="M543" s="18" t="s">
        <v>1987</v>
      </c>
      <c r="N543" s="16" t="s">
        <v>1889</v>
      </c>
      <c r="O543" s="18" t="s">
        <v>1988</v>
      </c>
      <c r="P543" s="18" t="s">
        <v>1932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1120</v>
      </c>
      <c r="K544" s="18">
        <v>5019409</v>
      </c>
      <c r="L544" s="18">
        <v>865665</v>
      </c>
      <c r="M544" s="18" t="s">
        <v>1989</v>
      </c>
      <c r="N544" s="16" t="s">
        <v>1776</v>
      </c>
      <c r="O544" s="18" t="s">
        <v>1990</v>
      </c>
      <c r="P544" s="18" t="s">
        <v>1778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1120</v>
      </c>
      <c r="K545" s="18">
        <v>5019407</v>
      </c>
      <c r="L545" s="18">
        <v>869258</v>
      </c>
      <c r="M545" s="18" t="s">
        <v>1991</v>
      </c>
      <c r="N545" s="16" t="s">
        <v>1872</v>
      </c>
      <c r="O545" s="18" t="s">
        <v>1992</v>
      </c>
      <c r="P545" s="18" t="s">
        <v>1975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1120</v>
      </c>
      <c r="K546" s="18">
        <v>5019411</v>
      </c>
      <c r="L546" s="18">
        <v>866910</v>
      </c>
      <c r="M546" s="18" t="s">
        <v>1993</v>
      </c>
      <c r="N546" s="16" t="s">
        <v>1776</v>
      </c>
      <c r="O546" s="18" t="s">
        <v>1994</v>
      </c>
      <c r="P546" s="18" t="s">
        <v>1778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1120</v>
      </c>
      <c r="K547" s="18">
        <v>9762801</v>
      </c>
      <c r="L547" s="18">
        <v>865445</v>
      </c>
      <c r="M547" s="18" t="s">
        <v>1995</v>
      </c>
      <c r="N547" s="16" t="s">
        <v>1430</v>
      </c>
      <c r="O547" s="18" t="s">
        <v>1996</v>
      </c>
      <c r="P547" s="18" t="s">
        <v>1483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1120</v>
      </c>
      <c r="K548" s="18">
        <v>9762885</v>
      </c>
      <c r="L548" s="18">
        <v>863906</v>
      </c>
      <c r="M548" s="18" t="s">
        <v>1997</v>
      </c>
      <c r="N548" s="16" t="s">
        <v>1430</v>
      </c>
      <c r="O548" s="18" t="s">
        <v>1998</v>
      </c>
      <c r="P548" s="18" t="s">
        <v>1932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1120</v>
      </c>
      <c r="K549" s="18">
        <v>5019408</v>
      </c>
      <c r="L549" s="18">
        <v>865622</v>
      </c>
      <c r="M549" s="18" t="s">
        <v>1999</v>
      </c>
      <c r="N549" s="16" t="s">
        <v>1594</v>
      </c>
      <c r="O549" s="18" t="s">
        <v>2000</v>
      </c>
      <c r="P549" s="18" t="s">
        <v>1802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1120</v>
      </c>
      <c r="K550" s="18">
        <v>9762758</v>
      </c>
      <c r="L550" s="18">
        <v>767356</v>
      </c>
      <c r="M550" s="18" t="s">
        <v>1092</v>
      </c>
      <c r="N550" s="16" t="s">
        <v>1092</v>
      </c>
      <c r="O550" s="18" t="s">
        <v>1092</v>
      </c>
      <c r="P550" s="18" t="s">
        <v>1092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1120</v>
      </c>
      <c r="K551" s="18">
        <v>9762598</v>
      </c>
      <c r="L551" s="18">
        <v>862070</v>
      </c>
      <c r="M551" s="18" t="s">
        <v>2001</v>
      </c>
      <c r="N551" s="16" t="s">
        <v>1489</v>
      </c>
      <c r="O551" s="18" t="s">
        <v>1491</v>
      </c>
      <c r="P551" s="18" t="s">
        <v>1124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1120</v>
      </c>
      <c r="K552" s="18">
        <v>5019358</v>
      </c>
      <c r="L552" s="18">
        <v>8624900</v>
      </c>
      <c r="M552" s="18" t="s">
        <v>2002</v>
      </c>
      <c r="N552" s="16" t="s">
        <v>1124</v>
      </c>
      <c r="O552" s="18" t="s">
        <v>2003</v>
      </c>
      <c r="P552" s="18" t="s">
        <v>2004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1120</v>
      </c>
      <c r="K553" s="18">
        <v>5019400</v>
      </c>
      <c r="L553" s="18">
        <v>862230</v>
      </c>
      <c r="M553" s="18" t="s">
        <v>2005</v>
      </c>
      <c r="N553" s="16" t="s">
        <v>1124</v>
      </c>
      <c r="O553" s="18" t="s">
        <v>2006</v>
      </c>
      <c r="P553" s="18" t="s">
        <v>2004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1120</v>
      </c>
      <c r="K554" s="18">
        <v>5019357</v>
      </c>
      <c r="L554" s="18">
        <v>862507</v>
      </c>
      <c r="M554" s="18" t="s">
        <v>2007</v>
      </c>
      <c r="N554" s="16" t="s">
        <v>1124</v>
      </c>
      <c r="O554" s="18" t="s">
        <v>2008</v>
      </c>
      <c r="P554" s="18" t="s">
        <v>2004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1120</v>
      </c>
      <c r="K555" s="18">
        <v>5019359</v>
      </c>
      <c r="L555" s="18">
        <v>862469</v>
      </c>
      <c r="M555" s="18" t="s">
        <v>2009</v>
      </c>
      <c r="N555" s="16" t="s">
        <v>1124</v>
      </c>
      <c r="O555" s="18" t="s">
        <v>2010</v>
      </c>
      <c r="P555" s="18" t="s">
        <v>2004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1196</v>
      </c>
      <c r="K556" s="18">
        <v>5019298</v>
      </c>
      <c r="L556" s="18" t="s">
        <v>1092</v>
      </c>
      <c r="M556" s="18" t="s">
        <v>1092</v>
      </c>
      <c r="N556" s="16" t="s">
        <v>1092</v>
      </c>
      <c r="O556" s="18" t="s">
        <v>1092</v>
      </c>
      <c r="P556" s="18" t="s">
        <v>1092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1082</v>
      </c>
      <c r="K557" s="18">
        <v>9763318</v>
      </c>
      <c r="L557" s="18" t="s">
        <v>1092</v>
      </c>
      <c r="M557" s="18" t="s">
        <v>1092</v>
      </c>
      <c r="N557" s="16" t="s">
        <v>1092</v>
      </c>
      <c r="O557" s="18" t="s">
        <v>1092</v>
      </c>
      <c r="P557" s="18" t="s">
        <v>1092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>
      <c r="A558" s="16">
        <v>46062</v>
      </c>
      <c r="B558" s="16">
        <v>46064</v>
      </c>
      <c r="C558" s="21" t="s">
        <v>1131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1082</v>
      </c>
      <c r="K558" s="18">
        <v>9764606</v>
      </c>
      <c r="L558" s="18">
        <v>862081</v>
      </c>
      <c r="M558" s="18" t="s">
        <v>2011</v>
      </c>
      <c r="N558" s="16" t="s">
        <v>1489</v>
      </c>
      <c r="O558" s="18" t="s">
        <v>2012</v>
      </c>
      <c r="P558" s="18" t="s">
        <v>1776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1196</v>
      </c>
      <c r="K559" s="18">
        <v>9763042</v>
      </c>
      <c r="L559" s="18">
        <v>862520</v>
      </c>
      <c r="M559" s="18" t="s">
        <v>2013</v>
      </c>
      <c r="N559" s="16" t="s">
        <v>1124</v>
      </c>
      <c r="O559" s="18" t="s">
        <v>1301</v>
      </c>
      <c r="P559" s="18" t="s">
        <v>1553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1077</v>
      </c>
      <c r="K560" s="18">
        <v>9762800</v>
      </c>
      <c r="L560" s="18">
        <v>865072</v>
      </c>
      <c r="M560" s="18" t="s">
        <v>2014</v>
      </c>
      <c r="N560" s="16" t="s">
        <v>1553</v>
      </c>
      <c r="O560" s="18" t="s">
        <v>2015</v>
      </c>
      <c r="P560" s="18" t="s">
        <v>1813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>
      <c r="A561" s="16">
        <v>46062</v>
      </c>
      <c r="B561" s="16">
        <v>46066</v>
      </c>
      <c r="C561" s="21" t="s">
        <v>1131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1196</v>
      </c>
      <c r="K561" s="18" t="s">
        <v>2016</v>
      </c>
      <c r="L561" s="18">
        <v>863498</v>
      </c>
      <c r="M561" s="18" t="s">
        <v>2017</v>
      </c>
      <c r="N561" s="16" t="s">
        <v>1553</v>
      </c>
      <c r="O561" s="18" t="s">
        <v>1760</v>
      </c>
      <c r="P561" s="18" t="s">
        <v>1430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1196</v>
      </c>
      <c r="K562" s="18">
        <v>5019351</v>
      </c>
      <c r="L562" s="18" t="s">
        <v>1092</v>
      </c>
      <c r="M562" s="18" t="s">
        <v>1092</v>
      </c>
      <c r="N562" s="16" t="s">
        <v>1092</v>
      </c>
      <c r="O562" s="18" t="s">
        <v>1092</v>
      </c>
      <c r="P562" s="18" t="s">
        <v>1092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1196</v>
      </c>
      <c r="K563" s="18">
        <v>5019350</v>
      </c>
      <c r="L563" s="18" t="s">
        <v>1092</v>
      </c>
      <c r="M563" s="18" t="s">
        <v>1092</v>
      </c>
      <c r="N563" s="16" t="s">
        <v>1092</v>
      </c>
      <c r="O563" s="18" t="s">
        <v>1092</v>
      </c>
      <c r="P563" s="18" t="s">
        <v>1092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>
      <c r="A564" s="16">
        <v>46062</v>
      </c>
      <c r="B564" s="16">
        <v>46065</v>
      </c>
      <c r="C564" s="21" t="s">
        <v>2018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1196</v>
      </c>
      <c r="K564" s="18" t="s">
        <v>2019</v>
      </c>
      <c r="L564" s="18">
        <v>863181</v>
      </c>
      <c r="M564" s="18" t="s">
        <v>2020</v>
      </c>
      <c r="N564" s="16" t="s">
        <v>1811</v>
      </c>
      <c r="O564" s="18" t="s">
        <v>1531</v>
      </c>
      <c r="P564" s="18" t="s">
        <v>1594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>
      <c r="A565" s="16">
        <v>46062</v>
      </c>
      <c r="B565" s="16">
        <v>46065</v>
      </c>
      <c r="C565" s="21" t="s">
        <v>2021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1120</v>
      </c>
      <c r="K565" s="18" t="s">
        <v>2022</v>
      </c>
      <c r="L565" s="18">
        <v>863181</v>
      </c>
      <c r="M565" s="18" t="s">
        <v>2020</v>
      </c>
      <c r="N565" s="16" t="s">
        <v>1811</v>
      </c>
      <c r="O565" s="18" t="s">
        <v>1531</v>
      </c>
      <c r="P565" s="18" t="s">
        <v>1594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1120</v>
      </c>
      <c r="K566" s="18">
        <v>9762580</v>
      </c>
      <c r="L566" s="18">
        <v>863181</v>
      </c>
      <c r="M566" s="18" t="s">
        <v>2020</v>
      </c>
      <c r="N566" s="16" t="s">
        <v>1811</v>
      </c>
      <c r="O566" s="18" t="s">
        <v>1531</v>
      </c>
      <c r="P566" s="18" t="s">
        <v>1594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1120</v>
      </c>
      <c r="K567" s="18">
        <v>9762586</v>
      </c>
      <c r="L567" s="18">
        <v>863181</v>
      </c>
      <c r="M567" s="18" t="s">
        <v>2020</v>
      </c>
      <c r="N567" s="16" t="s">
        <v>1811</v>
      </c>
      <c r="O567" s="18" t="s">
        <v>1531</v>
      </c>
      <c r="P567" s="18" t="s">
        <v>1594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>
      <c r="A568" s="16">
        <v>46062</v>
      </c>
      <c r="B568" s="16">
        <v>46065</v>
      </c>
      <c r="C568" s="21" t="s">
        <v>2023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1120</v>
      </c>
      <c r="K568" s="18" t="s">
        <v>2024</v>
      </c>
      <c r="L568" s="18">
        <v>863181</v>
      </c>
      <c r="M568" s="18" t="s">
        <v>2020</v>
      </c>
      <c r="N568" s="16" t="s">
        <v>1811</v>
      </c>
      <c r="O568" s="18" t="s">
        <v>1531</v>
      </c>
      <c r="P568" s="18" t="s">
        <v>1594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>
      <c r="A569" s="16">
        <v>46062</v>
      </c>
      <c r="B569" s="16">
        <v>46065</v>
      </c>
      <c r="C569" s="21" t="s">
        <v>2025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1120</v>
      </c>
      <c r="K569" s="18" t="s">
        <v>2026</v>
      </c>
      <c r="L569" s="18">
        <v>863181</v>
      </c>
      <c r="M569" s="18" t="s">
        <v>2020</v>
      </c>
      <c r="N569" s="16" t="s">
        <v>1811</v>
      </c>
      <c r="O569" s="18" t="s">
        <v>1531</v>
      </c>
      <c r="P569" s="18" t="s">
        <v>1594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>
      <c r="A570" s="16">
        <v>46062</v>
      </c>
      <c r="B570" s="16">
        <v>46065</v>
      </c>
      <c r="C570" s="21" t="s">
        <v>2027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1120</v>
      </c>
      <c r="K570" s="18" t="s">
        <v>2028</v>
      </c>
      <c r="L570" s="18">
        <v>863181</v>
      </c>
      <c r="M570" s="18" t="s">
        <v>2020</v>
      </c>
      <c r="N570" s="16" t="s">
        <v>1811</v>
      </c>
      <c r="O570" s="18" t="s">
        <v>1531</v>
      </c>
      <c r="P570" s="18" t="s">
        <v>1594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1120</v>
      </c>
      <c r="K571" s="18">
        <v>5019445</v>
      </c>
      <c r="L571" s="18">
        <v>863181</v>
      </c>
      <c r="M571" s="18" t="s">
        <v>2020</v>
      </c>
      <c r="N571" s="16" t="s">
        <v>1811</v>
      </c>
      <c r="O571" s="18" t="s">
        <v>1531</v>
      </c>
      <c r="P571" s="18" t="s">
        <v>1594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1196</v>
      </c>
      <c r="K572" s="18">
        <v>9762645</v>
      </c>
      <c r="L572" s="18" t="s">
        <v>1092</v>
      </c>
      <c r="M572" s="18" t="s">
        <v>1092</v>
      </c>
      <c r="N572" s="16" t="s">
        <v>1092</v>
      </c>
      <c r="O572" s="18" t="s">
        <v>1092</v>
      </c>
      <c r="P572" s="18" t="s">
        <v>1092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>
      <c r="A573" s="16">
        <v>46062</v>
      </c>
      <c r="B573" s="16">
        <v>46064</v>
      </c>
      <c r="C573" s="21" t="s">
        <v>1131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1196</v>
      </c>
      <c r="K573" s="18">
        <v>9763136</v>
      </c>
      <c r="L573" s="18">
        <v>862208</v>
      </c>
      <c r="M573" s="18" t="s">
        <v>2029</v>
      </c>
      <c r="N573" s="16" t="s">
        <v>1489</v>
      </c>
      <c r="O573" s="18" t="s">
        <v>1535</v>
      </c>
      <c r="P573" s="18" t="s">
        <v>1124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1196</v>
      </c>
      <c r="K574" s="18">
        <v>9763138</v>
      </c>
      <c r="L574" s="18">
        <v>862164</v>
      </c>
      <c r="M574" s="18" t="s">
        <v>2030</v>
      </c>
      <c r="N574" s="16" t="s">
        <v>1489</v>
      </c>
      <c r="O574" s="18" t="s">
        <v>1533</v>
      </c>
      <c r="P574" s="18" t="s">
        <v>1124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1299</v>
      </c>
      <c r="G575" s="22">
        <v>10262</v>
      </c>
      <c r="H575" s="22"/>
      <c r="I575" s="22">
        <f t="shared" si="9"/>
        <v>10262</v>
      </c>
      <c r="J575" s="18" t="s">
        <v>1120</v>
      </c>
      <c r="K575" s="18">
        <v>5019402</v>
      </c>
      <c r="L575" s="18">
        <v>862658</v>
      </c>
      <c r="M575" s="18" t="s">
        <v>2031</v>
      </c>
      <c r="N575" s="16" t="s">
        <v>1124</v>
      </c>
      <c r="O575" s="18" t="s">
        <v>1298</v>
      </c>
      <c r="P575" s="18" t="s">
        <v>1124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>
      <c r="A576" s="16">
        <v>46062</v>
      </c>
      <c r="B576" s="16">
        <v>46065</v>
      </c>
      <c r="C576" s="21" t="s">
        <v>2032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1293</v>
      </c>
      <c r="G576" s="22">
        <v>1964</v>
      </c>
      <c r="H576" s="22"/>
      <c r="I576" s="22">
        <f t="shared" ref="I576:I639" si="10">G576+H576</f>
        <v>1964</v>
      </c>
      <c r="J576" s="18" t="s">
        <v>1120</v>
      </c>
      <c r="K576" s="18">
        <v>5019401</v>
      </c>
      <c r="L576" s="18" t="s">
        <v>1092</v>
      </c>
      <c r="M576" s="18" t="s">
        <v>1092</v>
      </c>
      <c r="N576" s="16" t="s">
        <v>1092</v>
      </c>
      <c r="O576" s="18" t="s">
        <v>1092</v>
      </c>
      <c r="P576" s="18" t="s">
        <v>1092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2033</v>
      </c>
      <c r="G577" s="22">
        <v>150000</v>
      </c>
      <c r="H577" s="22"/>
      <c r="I577" s="22">
        <f t="shared" si="10"/>
        <v>150000</v>
      </c>
      <c r="J577" s="18" t="s">
        <v>1196</v>
      </c>
      <c r="K577" s="18">
        <v>9764618</v>
      </c>
      <c r="L577" s="18">
        <v>862206</v>
      </c>
      <c r="M577" s="18" t="s">
        <v>2034</v>
      </c>
      <c r="N577" s="16" t="s">
        <v>1489</v>
      </c>
      <c r="O577" s="18" t="s">
        <v>2035</v>
      </c>
      <c r="P577" s="18" t="s">
        <v>2036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1120</v>
      </c>
      <c r="K578" s="18">
        <v>5019577</v>
      </c>
      <c r="L578" s="18">
        <v>867272</v>
      </c>
      <c r="M578" s="18" t="s">
        <v>2037</v>
      </c>
      <c r="N578" s="16" t="s">
        <v>1818</v>
      </c>
      <c r="O578" s="18" t="s">
        <v>2038</v>
      </c>
      <c r="P578" s="18" t="s">
        <v>1697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1110</v>
      </c>
      <c r="K579" s="18">
        <v>9783952</v>
      </c>
      <c r="L579" s="18">
        <v>871760</v>
      </c>
      <c r="M579" s="18" t="s">
        <v>2039</v>
      </c>
      <c r="N579" s="16" t="s">
        <v>2040</v>
      </c>
      <c r="O579" s="18" t="s">
        <v>2041</v>
      </c>
      <c r="P579" s="18" t="s">
        <v>1825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1120</v>
      </c>
      <c r="K580" s="18">
        <v>9783953</v>
      </c>
      <c r="L580" s="18">
        <v>871768</v>
      </c>
      <c r="M580" s="18" t="s">
        <v>2042</v>
      </c>
      <c r="N580" s="16" t="s">
        <v>2040</v>
      </c>
      <c r="O580" s="18" t="s">
        <v>2043</v>
      </c>
      <c r="P580" s="18" t="s">
        <v>2044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1082</v>
      </c>
      <c r="K581" s="18">
        <v>9753166</v>
      </c>
      <c r="L581" s="18">
        <v>871853</v>
      </c>
      <c r="M581" s="18" t="s">
        <v>2045</v>
      </c>
      <c r="N581" s="16" t="s">
        <v>2040</v>
      </c>
      <c r="O581" s="18" t="s">
        <v>2046</v>
      </c>
      <c r="P581" s="18" t="s">
        <v>1938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1082</v>
      </c>
      <c r="K582" s="18">
        <v>9785480</v>
      </c>
      <c r="L582" s="18">
        <v>872299</v>
      </c>
      <c r="M582" s="18" t="s">
        <v>2047</v>
      </c>
      <c r="N582" s="16" t="s">
        <v>1872</v>
      </c>
      <c r="O582" s="18" t="s">
        <v>2048</v>
      </c>
      <c r="P582" s="18" t="s">
        <v>1938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1077</v>
      </c>
      <c r="K583" s="18">
        <v>9780183</v>
      </c>
      <c r="L583" s="18" t="s">
        <v>1092</v>
      </c>
      <c r="M583" s="18" t="s">
        <v>1092</v>
      </c>
      <c r="N583" s="16" t="s">
        <v>1092</v>
      </c>
      <c r="O583" s="18" t="s">
        <v>1092</v>
      </c>
      <c r="P583" s="18" t="s">
        <v>1092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1196</v>
      </c>
      <c r="K584" s="18">
        <v>9780205</v>
      </c>
      <c r="L584" s="18">
        <v>868314</v>
      </c>
      <c r="M584" s="18" t="s">
        <v>2049</v>
      </c>
      <c r="N584" s="16" t="s">
        <v>1818</v>
      </c>
      <c r="O584" s="18" t="s">
        <v>2050</v>
      </c>
      <c r="P584" s="18" t="s">
        <v>1492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1196</v>
      </c>
      <c r="K585" s="18">
        <v>9780210</v>
      </c>
      <c r="L585" s="18">
        <v>868330</v>
      </c>
      <c r="M585" s="18" t="s">
        <v>2051</v>
      </c>
      <c r="N585" s="16" t="s">
        <v>1818</v>
      </c>
      <c r="O585" s="18" t="s">
        <v>2052</v>
      </c>
      <c r="P585" s="18" t="s">
        <v>1882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1120</v>
      </c>
      <c r="K586" s="18">
        <v>9783949</v>
      </c>
      <c r="L586" s="18">
        <v>871745</v>
      </c>
      <c r="M586" s="18" t="s">
        <v>2053</v>
      </c>
      <c r="N586" s="16" t="s">
        <v>1882</v>
      </c>
      <c r="O586" s="18" t="s">
        <v>2054</v>
      </c>
      <c r="P586" s="18" t="s">
        <v>1697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1120</v>
      </c>
      <c r="K587" s="18">
        <v>9783947</v>
      </c>
      <c r="L587" s="18">
        <v>871431</v>
      </c>
      <c r="M587" s="18" t="s">
        <v>2055</v>
      </c>
      <c r="N587" s="16" t="s">
        <v>1882</v>
      </c>
      <c r="O587" s="18" t="s">
        <v>2056</v>
      </c>
      <c r="P587" s="18" t="s">
        <v>1486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1120</v>
      </c>
      <c r="K588" s="18">
        <v>9783947</v>
      </c>
      <c r="L588" s="18">
        <v>871431</v>
      </c>
      <c r="M588" s="18" t="s">
        <v>2057</v>
      </c>
      <c r="N588" s="16" t="s">
        <v>1882</v>
      </c>
      <c r="O588" s="18" t="s">
        <v>2058</v>
      </c>
      <c r="P588" s="18" t="s">
        <v>1697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1120</v>
      </c>
      <c r="K589" s="18">
        <v>9783949</v>
      </c>
      <c r="L589" s="18">
        <v>871745</v>
      </c>
      <c r="M589" s="18" t="s">
        <v>2059</v>
      </c>
      <c r="N589" s="16" t="s">
        <v>1882</v>
      </c>
      <c r="O589" s="18" t="s">
        <v>2060</v>
      </c>
      <c r="P589" s="18" t="s">
        <v>1486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1082</v>
      </c>
      <c r="K590" s="18">
        <v>9780204</v>
      </c>
      <c r="L590" s="18">
        <v>868273</v>
      </c>
      <c r="M590" s="18" t="s">
        <v>2061</v>
      </c>
      <c r="N590" s="16" t="s">
        <v>1591</v>
      </c>
      <c r="O590" s="18" t="s">
        <v>2062</v>
      </c>
      <c r="P590" s="18" t="s">
        <v>1830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1082</v>
      </c>
      <c r="K591" s="18">
        <v>9780185</v>
      </c>
      <c r="L591" s="18">
        <v>868273</v>
      </c>
      <c r="M591" s="18" t="s">
        <v>2061</v>
      </c>
      <c r="N591" s="16" t="s">
        <v>1591</v>
      </c>
      <c r="O591" s="18" t="s">
        <v>2062</v>
      </c>
      <c r="P591" s="18" t="s">
        <v>1830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1196</v>
      </c>
      <c r="K592" s="18">
        <v>9780003</v>
      </c>
      <c r="L592" s="18">
        <v>868253</v>
      </c>
      <c r="M592" s="18" t="s">
        <v>2063</v>
      </c>
      <c r="N592" s="16" t="s">
        <v>1776</v>
      </c>
      <c r="O592" s="18" t="s">
        <v>1092</v>
      </c>
      <c r="P592" s="18" t="s">
        <v>1092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1120</v>
      </c>
      <c r="K593" s="18">
        <v>5019568</v>
      </c>
      <c r="L593" s="18">
        <v>868526</v>
      </c>
      <c r="M593" s="18" t="s">
        <v>2064</v>
      </c>
      <c r="N593" s="16" t="s">
        <v>1818</v>
      </c>
      <c r="O593" s="18" t="s">
        <v>2035</v>
      </c>
      <c r="P593" s="18" t="s">
        <v>1492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1120</v>
      </c>
      <c r="K594" s="18">
        <v>5019514</v>
      </c>
      <c r="L594" s="18" t="s">
        <v>1092</v>
      </c>
      <c r="M594" s="18" t="s">
        <v>1092</v>
      </c>
      <c r="N594" s="16" t="s">
        <v>1092</v>
      </c>
      <c r="O594" s="18" t="s">
        <v>1092</v>
      </c>
      <c r="P594" s="18" t="s">
        <v>1092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1082</v>
      </c>
      <c r="K595" s="18">
        <v>9784946</v>
      </c>
      <c r="L595" s="18">
        <v>874882</v>
      </c>
      <c r="M595" s="18" t="s">
        <v>2065</v>
      </c>
      <c r="N595" s="16" t="s">
        <v>1697</v>
      </c>
      <c r="O595" s="18" t="s">
        <v>2066</v>
      </c>
      <c r="P595" s="18" t="s">
        <v>1975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1082</v>
      </c>
      <c r="K596" s="18">
        <v>9780184</v>
      </c>
      <c r="L596" s="18">
        <v>868269</v>
      </c>
      <c r="M596" s="18" t="s">
        <v>2067</v>
      </c>
      <c r="N596" s="16" t="s">
        <v>1776</v>
      </c>
      <c r="O596" s="18" t="s">
        <v>2068</v>
      </c>
      <c r="P596" s="18" t="s">
        <v>1492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1082</v>
      </c>
      <c r="K597" s="18">
        <v>9783958</v>
      </c>
      <c r="L597" s="18">
        <v>871789</v>
      </c>
      <c r="M597" s="18" t="s">
        <v>2069</v>
      </c>
      <c r="N597" s="16" t="s">
        <v>2040</v>
      </c>
      <c r="O597" s="18" t="s">
        <v>2070</v>
      </c>
      <c r="P597" s="18" t="s">
        <v>2071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1196</v>
      </c>
      <c r="K598" s="18">
        <v>9765839</v>
      </c>
      <c r="L598" s="18">
        <v>863317</v>
      </c>
      <c r="M598" s="18" t="s">
        <v>2072</v>
      </c>
      <c r="N598" s="16" t="s">
        <v>1811</v>
      </c>
      <c r="O598" s="18" t="s">
        <v>1749</v>
      </c>
      <c r="P598" s="18" t="s">
        <v>1553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1262</v>
      </c>
      <c r="K599" s="18">
        <v>9781627</v>
      </c>
      <c r="L599" s="18">
        <v>868692</v>
      </c>
      <c r="M599" s="18" t="s">
        <v>2073</v>
      </c>
      <c r="N599" s="16" t="s">
        <v>1818</v>
      </c>
      <c r="O599" s="18" t="s">
        <v>2074</v>
      </c>
      <c r="P599" s="18" t="s">
        <v>1492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1262</v>
      </c>
      <c r="K600" s="18">
        <v>5019605</v>
      </c>
      <c r="L600" s="18">
        <v>868692</v>
      </c>
      <c r="M600" s="18" t="s">
        <v>2073</v>
      </c>
      <c r="N600" s="16" t="s">
        <v>1818</v>
      </c>
      <c r="O600" s="18" t="s">
        <v>2074</v>
      </c>
      <c r="P600" s="18" t="s">
        <v>1492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1262</v>
      </c>
      <c r="K601" s="18">
        <v>5019606</v>
      </c>
      <c r="L601" s="18">
        <v>868692</v>
      </c>
      <c r="M601" s="18" t="s">
        <v>2073</v>
      </c>
      <c r="N601" s="16" t="s">
        <v>1818</v>
      </c>
      <c r="O601" s="18" t="s">
        <v>2074</v>
      </c>
      <c r="P601" s="18" t="s">
        <v>1492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1262</v>
      </c>
      <c r="K602" s="18">
        <v>5019606</v>
      </c>
      <c r="L602" s="18">
        <v>868692</v>
      </c>
      <c r="M602" s="18" t="s">
        <v>2073</v>
      </c>
      <c r="N602" s="16" t="s">
        <v>1818</v>
      </c>
      <c r="O602" s="18" t="s">
        <v>2074</v>
      </c>
      <c r="P602" s="18" t="s">
        <v>1492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1082</v>
      </c>
      <c r="K603" s="18">
        <v>9780218</v>
      </c>
      <c r="L603" s="18">
        <v>868390</v>
      </c>
      <c r="M603" s="18" t="s">
        <v>2075</v>
      </c>
      <c r="N603" s="16" t="s">
        <v>1776</v>
      </c>
      <c r="O603" s="18" t="s">
        <v>2076</v>
      </c>
      <c r="P603" s="18" t="s">
        <v>1492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1110</v>
      </c>
      <c r="K604" s="18">
        <v>9780217</v>
      </c>
      <c r="L604" s="18">
        <v>868336</v>
      </c>
      <c r="M604" s="18" t="s">
        <v>2077</v>
      </c>
      <c r="N604" s="16" t="s">
        <v>1776</v>
      </c>
      <c r="O604" s="18" t="s">
        <v>2078</v>
      </c>
      <c r="P604" s="18" t="s">
        <v>1818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2079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1196</v>
      </c>
      <c r="K605" s="18">
        <v>9783945</v>
      </c>
      <c r="L605" s="18">
        <v>871230</v>
      </c>
      <c r="M605" s="18" t="s">
        <v>2080</v>
      </c>
      <c r="N605" s="16" t="s">
        <v>1697</v>
      </c>
      <c r="O605" s="18" t="s">
        <v>2081</v>
      </c>
      <c r="P605" s="18" t="s">
        <v>2082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>
      <c r="A606" s="16">
        <v>46066</v>
      </c>
      <c r="B606" s="16">
        <v>46072</v>
      </c>
      <c r="C606" s="21" t="s">
        <v>2083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1196</v>
      </c>
      <c r="K606" s="18" t="s">
        <v>2084</v>
      </c>
      <c r="L606" s="18">
        <v>868565</v>
      </c>
      <c r="M606" s="18" t="s">
        <v>2085</v>
      </c>
      <c r="N606" s="16" t="s">
        <v>1492</v>
      </c>
      <c r="O606" s="18" t="s">
        <v>1333</v>
      </c>
      <c r="P606" s="18" t="s">
        <v>1492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>
      <c r="A607" s="16">
        <v>46066</v>
      </c>
      <c r="B607" s="16">
        <v>46072</v>
      </c>
      <c r="C607" s="21" t="s">
        <v>2086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1196</v>
      </c>
      <c r="K607" s="18" t="s">
        <v>2087</v>
      </c>
      <c r="L607" s="18">
        <v>868565</v>
      </c>
      <c r="M607" s="18" t="s">
        <v>2085</v>
      </c>
      <c r="N607" s="16" t="s">
        <v>1492</v>
      </c>
      <c r="O607" s="18" t="s">
        <v>1333</v>
      </c>
      <c r="P607" s="18" t="s">
        <v>1492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>
      <c r="A608" s="16">
        <v>46066</v>
      </c>
      <c r="B608" s="16">
        <v>46072</v>
      </c>
      <c r="C608" s="21" t="s">
        <v>2088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1196</v>
      </c>
      <c r="K608" s="18" t="s">
        <v>2089</v>
      </c>
      <c r="L608" s="18">
        <v>868565</v>
      </c>
      <c r="M608" s="18" t="s">
        <v>2085</v>
      </c>
      <c r="N608" s="16" t="s">
        <v>1492</v>
      </c>
      <c r="O608" s="18" t="s">
        <v>1333</v>
      </c>
      <c r="P608" s="18" t="s">
        <v>1492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1297</v>
      </c>
      <c r="G609" s="22">
        <v>6889</v>
      </c>
      <c r="H609" s="22"/>
      <c r="I609" s="22">
        <f t="shared" si="10"/>
        <v>6889</v>
      </c>
      <c r="J609" s="18" t="s">
        <v>1110</v>
      </c>
      <c r="K609" s="18">
        <v>5019517</v>
      </c>
      <c r="L609" s="18">
        <v>868517</v>
      </c>
      <c r="M609" s="18" t="s">
        <v>2090</v>
      </c>
      <c r="N609" s="16" t="s">
        <v>1818</v>
      </c>
      <c r="O609" s="18" t="s">
        <v>1255</v>
      </c>
      <c r="P609" s="18" t="s">
        <v>2091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1196</v>
      </c>
      <c r="K610" s="18">
        <v>9783664</v>
      </c>
      <c r="L610" s="18">
        <v>868682</v>
      </c>
      <c r="M610" s="18" t="s">
        <v>2092</v>
      </c>
      <c r="N610" s="16" t="s">
        <v>1882</v>
      </c>
      <c r="O610" s="18" t="s">
        <v>2093</v>
      </c>
      <c r="P610" s="18" t="s">
        <v>2094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1082</v>
      </c>
      <c r="K611" s="18">
        <v>9765543</v>
      </c>
      <c r="L611" s="18">
        <v>868656</v>
      </c>
      <c r="M611" s="18" t="s">
        <v>2095</v>
      </c>
      <c r="N611" s="16" t="s">
        <v>1492</v>
      </c>
      <c r="O611" s="18" t="s">
        <v>2096</v>
      </c>
      <c r="P611" s="18" t="s">
        <v>1932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1082</v>
      </c>
      <c r="K612" s="18">
        <v>9765601</v>
      </c>
      <c r="L612" s="18">
        <v>868667</v>
      </c>
      <c r="M612" s="18" t="s">
        <v>2097</v>
      </c>
      <c r="N612" s="16" t="s">
        <v>1492</v>
      </c>
      <c r="O612" s="18" t="s">
        <v>2098</v>
      </c>
      <c r="P612" s="18" t="s">
        <v>1932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1082</v>
      </c>
      <c r="K613" s="18">
        <v>9765551</v>
      </c>
      <c r="L613" s="18">
        <v>868661</v>
      </c>
      <c r="M613" s="18" t="s">
        <v>2099</v>
      </c>
      <c r="N613" s="16" t="s">
        <v>1492</v>
      </c>
      <c r="O613" s="18" t="s">
        <v>2100</v>
      </c>
      <c r="P613" s="18" t="s">
        <v>1932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1262</v>
      </c>
      <c r="K614" s="18">
        <v>9785482</v>
      </c>
      <c r="L614" s="18">
        <v>871872</v>
      </c>
      <c r="M614" s="18" t="s">
        <v>2101</v>
      </c>
      <c r="N614" s="16" t="s">
        <v>1872</v>
      </c>
      <c r="O614" s="18" t="s">
        <v>2102</v>
      </c>
      <c r="P614" s="18" t="s">
        <v>1697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1262</v>
      </c>
      <c r="K615" s="18">
        <v>9785482</v>
      </c>
      <c r="L615" s="18">
        <v>871872</v>
      </c>
      <c r="M615" s="18" t="s">
        <v>2103</v>
      </c>
      <c r="N615" s="16" t="s">
        <v>1872</v>
      </c>
      <c r="O615" s="18" t="s">
        <v>2104</v>
      </c>
      <c r="P615" s="18" t="s">
        <v>1697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1131</v>
      </c>
      <c r="G616" s="22">
        <v>4800</v>
      </c>
      <c r="H616" s="22"/>
      <c r="I616" s="22">
        <f t="shared" si="10"/>
        <v>4800</v>
      </c>
      <c r="J616" s="18" t="s">
        <v>1082</v>
      </c>
      <c r="K616" s="18">
        <v>9780002</v>
      </c>
      <c r="L616" s="18">
        <v>868235</v>
      </c>
      <c r="M616" s="18" t="s">
        <v>2105</v>
      </c>
      <c r="N616" s="16" t="s">
        <v>1818</v>
      </c>
      <c r="O616" s="18" t="s">
        <v>1300</v>
      </c>
      <c r="P616" s="18" t="s">
        <v>1486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1196</v>
      </c>
      <c r="K617" s="18">
        <v>9779929</v>
      </c>
      <c r="L617" s="18">
        <v>868197</v>
      </c>
      <c r="M617" s="18" t="s">
        <v>2106</v>
      </c>
      <c r="N617" s="16" t="s">
        <v>1818</v>
      </c>
      <c r="O617" s="18" t="s">
        <v>2107</v>
      </c>
      <c r="P617" s="18" t="s">
        <v>1492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1196</v>
      </c>
      <c r="K618" s="18">
        <v>9780155</v>
      </c>
      <c r="L618" s="18">
        <v>868261</v>
      </c>
      <c r="M618" s="18" t="s">
        <v>2108</v>
      </c>
      <c r="N618" s="16" t="s">
        <v>1818</v>
      </c>
      <c r="O618" s="18" t="s">
        <v>2109</v>
      </c>
      <c r="P618" s="18" t="s">
        <v>1492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1262</v>
      </c>
      <c r="K619" s="18">
        <v>9783034</v>
      </c>
      <c r="L619" s="18">
        <v>868684</v>
      </c>
      <c r="M619" s="18" t="s">
        <v>2110</v>
      </c>
      <c r="N619" s="16" t="s">
        <v>1492</v>
      </c>
      <c r="O619" s="18" t="s">
        <v>2111</v>
      </c>
      <c r="P619" s="18" t="s">
        <v>1486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1262</v>
      </c>
      <c r="K620" s="18">
        <v>9783034</v>
      </c>
      <c r="L620" s="18">
        <v>868684</v>
      </c>
      <c r="M620" s="18" t="s">
        <v>2112</v>
      </c>
      <c r="N620" s="16" t="s">
        <v>1492</v>
      </c>
      <c r="O620" s="18" t="s">
        <v>2113</v>
      </c>
      <c r="P620" s="18" t="s">
        <v>1697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1196</v>
      </c>
      <c r="K621" s="18">
        <v>9779933</v>
      </c>
      <c r="L621" s="18">
        <v>868200</v>
      </c>
      <c r="M621" s="18" t="s">
        <v>2114</v>
      </c>
      <c r="N621" s="16" t="s">
        <v>1776</v>
      </c>
      <c r="O621" s="18" t="s">
        <v>1092</v>
      </c>
      <c r="P621" s="18" t="s">
        <v>1092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1120</v>
      </c>
      <c r="K622" s="18">
        <v>9783944</v>
      </c>
      <c r="L622" s="18">
        <v>869093</v>
      </c>
      <c r="M622" s="18" t="s">
        <v>2115</v>
      </c>
      <c r="N622" s="16" t="s">
        <v>1882</v>
      </c>
      <c r="O622" s="18" t="s">
        <v>2116</v>
      </c>
      <c r="P622" s="18" t="s">
        <v>2117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1120</v>
      </c>
      <c r="K623" s="18">
        <v>9779939</v>
      </c>
      <c r="L623" s="18">
        <v>868219</v>
      </c>
      <c r="M623" s="18" t="s">
        <v>2118</v>
      </c>
      <c r="N623" s="16" t="s">
        <v>1818</v>
      </c>
      <c r="O623" s="18" t="s">
        <v>2119</v>
      </c>
      <c r="P623" s="18" t="s">
        <v>1697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1120</v>
      </c>
      <c r="K624" s="18">
        <v>9780001</v>
      </c>
      <c r="L624" s="18">
        <v>868228</v>
      </c>
      <c r="M624" s="18" t="s">
        <v>2120</v>
      </c>
      <c r="N624" s="16" t="s">
        <v>1818</v>
      </c>
      <c r="O624" s="18" t="s">
        <v>2121</v>
      </c>
      <c r="P624" s="18" t="s">
        <v>1591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1120</v>
      </c>
      <c r="K625" s="18">
        <v>9779937</v>
      </c>
      <c r="L625" s="18">
        <v>868203</v>
      </c>
      <c r="M625" s="18" t="s">
        <v>2122</v>
      </c>
      <c r="N625" s="16" t="s">
        <v>1818</v>
      </c>
      <c r="O625" s="18" t="s">
        <v>2123</v>
      </c>
      <c r="P625" s="18" t="s">
        <v>1697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1120</v>
      </c>
      <c r="K626" s="18">
        <v>9779938</v>
      </c>
      <c r="L626" s="18">
        <v>868214</v>
      </c>
      <c r="M626" s="18" t="s">
        <v>2124</v>
      </c>
      <c r="N626" s="16" t="s">
        <v>1818</v>
      </c>
      <c r="O626" s="18" t="s">
        <v>2125</v>
      </c>
      <c r="P626" s="18" t="s">
        <v>2126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>
      <c r="A627" s="16">
        <v>46070</v>
      </c>
      <c r="B627" s="16">
        <v>46077</v>
      </c>
      <c r="C627" s="21" t="s">
        <v>1131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1815</v>
      </c>
      <c r="K627" s="18">
        <v>5019628</v>
      </c>
      <c r="L627" s="18" t="s">
        <v>1092</v>
      </c>
      <c r="M627" s="18" t="s">
        <v>1092</v>
      </c>
      <c r="N627" s="16" t="s">
        <v>1092</v>
      </c>
      <c r="O627" s="18" t="s">
        <v>1092</v>
      </c>
      <c r="P627" s="18" t="s">
        <v>1092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1262</v>
      </c>
      <c r="K628" s="18">
        <v>5019514</v>
      </c>
      <c r="L628" s="18" t="s">
        <v>1092</v>
      </c>
      <c r="M628" s="18" t="s">
        <v>1092</v>
      </c>
      <c r="N628" s="16" t="s">
        <v>1092</v>
      </c>
      <c r="O628" s="18" t="s">
        <v>1092</v>
      </c>
      <c r="P628" s="18" t="s">
        <v>1092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1262</v>
      </c>
      <c r="K629" s="18">
        <v>5019514</v>
      </c>
      <c r="L629" s="18" t="s">
        <v>1092</v>
      </c>
      <c r="M629" s="18" t="s">
        <v>1092</v>
      </c>
      <c r="N629" s="16" t="s">
        <v>1092</v>
      </c>
      <c r="O629" s="18" t="s">
        <v>1092</v>
      </c>
      <c r="P629" s="18" t="s">
        <v>1092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1248</v>
      </c>
      <c r="K630" s="18">
        <v>5019514</v>
      </c>
      <c r="L630" s="18" t="s">
        <v>1092</v>
      </c>
      <c r="M630" s="18" t="s">
        <v>1092</v>
      </c>
      <c r="N630" s="16" t="s">
        <v>1092</v>
      </c>
      <c r="O630" s="18" t="s">
        <v>1092</v>
      </c>
      <c r="P630" s="18" t="s">
        <v>1092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1082</v>
      </c>
      <c r="K631" s="18">
        <v>9787851</v>
      </c>
      <c r="L631" s="18">
        <v>871886</v>
      </c>
      <c r="M631" s="18" t="s">
        <v>2127</v>
      </c>
      <c r="N631" s="16" t="s">
        <v>1697</v>
      </c>
      <c r="O631" s="18" t="s">
        <v>1092</v>
      </c>
      <c r="P631" s="18" t="s">
        <v>1092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1082</v>
      </c>
      <c r="K632" s="18">
        <v>9783032</v>
      </c>
      <c r="L632" s="18">
        <v>868651</v>
      </c>
      <c r="M632" s="18" t="s">
        <v>2128</v>
      </c>
      <c r="N632" s="16" t="s">
        <v>1492</v>
      </c>
      <c r="O632" s="18" t="s">
        <v>2129</v>
      </c>
      <c r="P632" s="18" t="s">
        <v>2130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1082</v>
      </c>
      <c r="K633" s="18">
        <v>9783030</v>
      </c>
      <c r="L633" s="18">
        <v>868639</v>
      </c>
      <c r="M633" s="18" t="s">
        <v>2131</v>
      </c>
      <c r="N633" s="16" t="s">
        <v>1492</v>
      </c>
      <c r="O633" s="18" t="s">
        <v>2132</v>
      </c>
      <c r="P633" s="18" t="s">
        <v>1932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2133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1196</v>
      </c>
      <c r="K634" s="18">
        <v>9783946</v>
      </c>
      <c r="L634" s="18">
        <v>871380</v>
      </c>
      <c r="M634" s="18" t="s">
        <v>2134</v>
      </c>
      <c r="N634" s="16" t="s">
        <v>1882</v>
      </c>
      <c r="O634" s="18" t="s">
        <v>2135</v>
      </c>
      <c r="P634" s="18" t="s">
        <v>2136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2137</v>
      </c>
      <c r="G635" s="22">
        <v>50.01</v>
      </c>
      <c r="H635" s="22">
        <v>564.5</v>
      </c>
      <c r="I635" s="22">
        <f t="shared" si="10"/>
        <v>614.51</v>
      </c>
      <c r="J635" s="18" t="s">
        <v>1196</v>
      </c>
      <c r="K635" s="18">
        <v>9783946</v>
      </c>
      <c r="L635" s="18">
        <v>871397</v>
      </c>
      <c r="M635" s="18" t="s">
        <v>2138</v>
      </c>
      <c r="N635" s="16" t="s">
        <v>1492</v>
      </c>
      <c r="O635" s="18" t="s">
        <v>2139</v>
      </c>
      <c r="P635" s="18" t="s">
        <v>2136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>
      <c r="A636" s="16">
        <v>46070</v>
      </c>
      <c r="B636" s="16">
        <v>46072</v>
      </c>
      <c r="C636" s="21" t="s">
        <v>2140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1300</v>
      </c>
      <c r="G636" s="22">
        <v>9356</v>
      </c>
      <c r="H636" s="22"/>
      <c r="I636" s="22">
        <f t="shared" si="10"/>
        <v>9356</v>
      </c>
      <c r="J636" s="18" t="s">
        <v>1196</v>
      </c>
      <c r="K636" s="18" t="s">
        <v>2141</v>
      </c>
      <c r="L636" s="18">
        <v>868544</v>
      </c>
      <c r="M636" s="18" t="s">
        <v>2142</v>
      </c>
      <c r="N636" s="16" t="s">
        <v>1818</v>
      </c>
      <c r="O636" s="18" t="s">
        <v>1344</v>
      </c>
      <c r="P636" s="18" t="s">
        <v>1492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>
      <c r="A637" s="16">
        <v>46070</v>
      </c>
      <c r="B637" s="16">
        <v>46072</v>
      </c>
      <c r="C637" s="21" t="s">
        <v>2143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1097</v>
      </c>
      <c r="G637" s="22">
        <v>7953.6</v>
      </c>
      <c r="H637" s="22"/>
      <c r="I637" s="22">
        <f t="shared" si="10"/>
        <v>7953.6</v>
      </c>
      <c r="J637" s="18" t="s">
        <v>1196</v>
      </c>
      <c r="K637" s="18" t="s">
        <v>2144</v>
      </c>
      <c r="L637" s="18">
        <v>868544</v>
      </c>
      <c r="M637" s="18" t="s">
        <v>2142</v>
      </c>
      <c r="N637" s="16" t="s">
        <v>1818</v>
      </c>
      <c r="O637" s="18" t="s">
        <v>1344</v>
      </c>
      <c r="P637" s="18" t="s">
        <v>1492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>
      <c r="A638" s="16">
        <v>46070</v>
      </c>
      <c r="B638" s="16">
        <v>46072</v>
      </c>
      <c r="C638" s="21" t="s">
        <v>2083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1298</v>
      </c>
      <c r="G638" s="22">
        <v>6866.8</v>
      </c>
      <c r="H638" s="22"/>
      <c r="I638" s="22">
        <f t="shared" si="10"/>
        <v>6866.8</v>
      </c>
      <c r="J638" s="18" t="s">
        <v>1196</v>
      </c>
      <c r="K638" s="18" t="s">
        <v>2145</v>
      </c>
      <c r="L638" s="18">
        <v>868544</v>
      </c>
      <c r="M638" s="18" t="s">
        <v>2142</v>
      </c>
      <c r="N638" s="16" t="s">
        <v>1818</v>
      </c>
      <c r="O638" s="18" t="s">
        <v>1344</v>
      </c>
      <c r="P638" s="18" t="s">
        <v>1492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1295</v>
      </c>
      <c r="G639" s="22">
        <v>8750</v>
      </c>
      <c r="H639" s="22"/>
      <c r="I639" s="22">
        <f t="shared" si="10"/>
        <v>8750</v>
      </c>
      <c r="J639" s="18" t="s">
        <v>1120</v>
      </c>
      <c r="K639" s="18">
        <v>5019571</v>
      </c>
      <c r="L639" s="18">
        <v>868531</v>
      </c>
      <c r="M639" s="18" t="s">
        <v>2146</v>
      </c>
      <c r="N639" s="16" t="s">
        <v>1818</v>
      </c>
      <c r="O639" s="18" t="s">
        <v>1299</v>
      </c>
      <c r="P639" s="18" t="s">
        <v>2091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1120</v>
      </c>
      <c r="K640" s="18">
        <v>9781373</v>
      </c>
      <c r="L640" s="18">
        <v>868231</v>
      </c>
      <c r="M640" s="18" t="s">
        <v>2147</v>
      </c>
      <c r="N640" s="16" t="s">
        <v>1818</v>
      </c>
      <c r="O640" s="18" t="s">
        <v>2148</v>
      </c>
      <c r="P640" s="18" t="s">
        <v>2149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1120</v>
      </c>
      <c r="K641" s="18">
        <v>9781379</v>
      </c>
      <c r="L641" s="18">
        <v>868968</v>
      </c>
      <c r="M641" s="18" t="s">
        <v>2150</v>
      </c>
      <c r="N641" s="16" t="s">
        <v>1818</v>
      </c>
      <c r="O641" s="18" t="s">
        <v>2151</v>
      </c>
      <c r="P641" s="18" t="s">
        <v>2152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1120</v>
      </c>
      <c r="K642" s="18">
        <v>9781421</v>
      </c>
      <c r="L642" s="18">
        <v>867636</v>
      </c>
      <c r="M642" s="18" t="s">
        <v>2153</v>
      </c>
      <c r="N642" s="16" t="s">
        <v>1818</v>
      </c>
      <c r="O642" s="18" t="s">
        <v>2154</v>
      </c>
      <c r="P642" s="18" t="s">
        <v>1543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1120</v>
      </c>
      <c r="K643" s="18">
        <v>9781876</v>
      </c>
      <c r="L643" s="18">
        <v>869036</v>
      </c>
      <c r="M643" s="18" t="s">
        <v>2155</v>
      </c>
      <c r="N643" s="16" t="s">
        <v>1818</v>
      </c>
      <c r="O643" s="18" t="s">
        <v>2156</v>
      </c>
      <c r="P643" s="18" t="s">
        <v>2157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>
      <c r="A644" s="16">
        <v>46076</v>
      </c>
      <c r="B644" s="16">
        <v>46080</v>
      </c>
      <c r="C644" s="21" t="s">
        <v>1131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2158</v>
      </c>
      <c r="G644" s="22">
        <v>6000</v>
      </c>
      <c r="H644" s="22"/>
      <c r="I644" s="22">
        <f t="shared" si="11"/>
        <v>6000</v>
      </c>
      <c r="J644" s="18" t="s">
        <v>1815</v>
      </c>
      <c r="K644" s="18">
        <v>9787836</v>
      </c>
      <c r="L644" s="18">
        <v>874853</v>
      </c>
      <c r="M644" s="18" t="s">
        <v>2159</v>
      </c>
      <c r="N644" s="16" t="s">
        <v>1697</v>
      </c>
      <c r="O644" s="18" t="s">
        <v>2160</v>
      </c>
      <c r="P644" s="18" t="s">
        <v>2091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1120</v>
      </c>
      <c r="K645" s="18">
        <v>9786544</v>
      </c>
      <c r="L645" s="18">
        <v>874231</v>
      </c>
      <c r="M645" s="18" t="s">
        <v>2161</v>
      </c>
      <c r="N645" s="16" t="s">
        <v>1697</v>
      </c>
      <c r="O645" s="18" t="s">
        <v>2162</v>
      </c>
      <c r="P645" s="18" t="s">
        <v>1697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1120</v>
      </c>
      <c r="K646" s="18">
        <v>9786546</v>
      </c>
      <c r="L646" s="18">
        <v>874256</v>
      </c>
      <c r="M646" s="18" t="s">
        <v>2163</v>
      </c>
      <c r="N646" s="16" t="s">
        <v>1498</v>
      </c>
      <c r="O646" s="18" t="s">
        <v>2164</v>
      </c>
      <c r="P646" s="18" t="s">
        <v>1498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1120</v>
      </c>
      <c r="K647" s="18">
        <v>9786510</v>
      </c>
      <c r="L647" s="18">
        <v>874220</v>
      </c>
      <c r="M647" s="18" t="s">
        <v>2165</v>
      </c>
      <c r="N647" s="16" t="s">
        <v>1697</v>
      </c>
      <c r="O647" s="18" t="s">
        <v>2166</v>
      </c>
      <c r="P647" s="18" t="s">
        <v>1697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1120</v>
      </c>
      <c r="K648" s="18">
        <v>9786545</v>
      </c>
      <c r="L648" s="18">
        <v>874245</v>
      </c>
      <c r="M648" s="18" t="s">
        <v>2167</v>
      </c>
      <c r="N648" s="16" t="s">
        <v>1697</v>
      </c>
      <c r="O648" s="18" t="s">
        <v>2168</v>
      </c>
      <c r="P648" s="18" t="s">
        <v>2169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1120</v>
      </c>
      <c r="K649" s="18">
        <v>5019704</v>
      </c>
      <c r="L649" s="18">
        <v>874342</v>
      </c>
      <c r="M649" s="18" t="s">
        <v>2170</v>
      </c>
      <c r="N649" s="16" t="s">
        <v>2171</v>
      </c>
      <c r="O649" s="18" t="s">
        <v>2172</v>
      </c>
      <c r="P649" s="18" t="s">
        <v>1498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1120</v>
      </c>
      <c r="K650" s="18">
        <v>9786548</v>
      </c>
      <c r="L650" s="18">
        <v>874267</v>
      </c>
      <c r="M650" s="18" t="s">
        <v>2173</v>
      </c>
      <c r="N650" s="16" t="s">
        <v>2171</v>
      </c>
      <c r="O650" s="18" t="s">
        <v>1308</v>
      </c>
      <c r="P650" s="18" t="s">
        <v>1498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1120</v>
      </c>
      <c r="K651" s="18">
        <v>9790339</v>
      </c>
      <c r="L651" s="18">
        <v>876674</v>
      </c>
      <c r="M651" s="18" t="s">
        <v>2174</v>
      </c>
      <c r="N651" s="16" t="s">
        <v>1591</v>
      </c>
      <c r="O651" s="18" t="s">
        <v>2175</v>
      </c>
      <c r="P651" s="18" t="s">
        <v>2176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1120</v>
      </c>
      <c r="K652" s="18">
        <v>9786357</v>
      </c>
      <c r="L652" s="18">
        <v>878725</v>
      </c>
      <c r="M652" s="18" t="s">
        <v>2177</v>
      </c>
      <c r="N652" s="16" t="s">
        <v>1591</v>
      </c>
      <c r="O652" s="18" t="s">
        <v>2178</v>
      </c>
      <c r="P652" s="18" t="s">
        <v>2179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1262</v>
      </c>
      <c r="K653" s="18">
        <v>9790363</v>
      </c>
      <c r="L653" s="18">
        <v>876748</v>
      </c>
      <c r="M653" s="18" t="s">
        <v>2180</v>
      </c>
      <c r="N653" s="16" t="s">
        <v>1591</v>
      </c>
      <c r="O653" s="18" t="s">
        <v>2181</v>
      </c>
      <c r="P653" s="18" t="s">
        <v>2179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1120</v>
      </c>
      <c r="K654" s="18">
        <v>9786355</v>
      </c>
      <c r="L654" s="18">
        <v>878683</v>
      </c>
      <c r="M654" s="18" t="s">
        <v>2182</v>
      </c>
      <c r="N654" s="16" t="s">
        <v>1591</v>
      </c>
      <c r="O654" s="18" t="s">
        <v>2183</v>
      </c>
      <c r="P654" s="18" t="s">
        <v>2179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1262</v>
      </c>
      <c r="K655" s="18">
        <v>9786554</v>
      </c>
      <c r="L655" s="18">
        <v>874351</v>
      </c>
      <c r="M655" s="18" t="s">
        <v>2184</v>
      </c>
      <c r="N655" s="16" t="s">
        <v>1697</v>
      </c>
      <c r="O655" s="18" t="s">
        <v>2185</v>
      </c>
      <c r="P655" s="18" t="s">
        <v>2117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1120</v>
      </c>
      <c r="K656" s="18">
        <v>9791582</v>
      </c>
      <c r="L656" s="18" t="s">
        <v>1092</v>
      </c>
      <c r="M656" s="18" t="s">
        <v>1092</v>
      </c>
      <c r="N656" s="16" t="s">
        <v>1092</v>
      </c>
      <c r="O656" s="18" t="s">
        <v>1092</v>
      </c>
      <c r="P656" s="18" t="s">
        <v>1092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1120</v>
      </c>
      <c r="K657" s="18">
        <v>9791581</v>
      </c>
      <c r="L657" s="18" t="s">
        <v>1092</v>
      </c>
      <c r="M657" s="18" t="s">
        <v>1092</v>
      </c>
      <c r="N657" s="16" t="s">
        <v>1092</v>
      </c>
      <c r="O657" s="18" t="s">
        <v>1092</v>
      </c>
      <c r="P657" s="18" t="s">
        <v>1092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1120</v>
      </c>
      <c r="K658" s="18">
        <v>9791581</v>
      </c>
      <c r="L658" s="18" t="s">
        <v>1092</v>
      </c>
      <c r="M658" s="18" t="s">
        <v>1092</v>
      </c>
      <c r="N658" s="16" t="s">
        <v>1092</v>
      </c>
      <c r="O658" s="18" t="s">
        <v>1092</v>
      </c>
      <c r="P658" s="18" t="s">
        <v>1092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1262</v>
      </c>
      <c r="K659" s="18">
        <v>9786552</v>
      </c>
      <c r="L659" s="18">
        <v>874351</v>
      </c>
      <c r="M659" s="18" t="s">
        <v>2184</v>
      </c>
      <c r="N659" s="16" t="s">
        <v>1697</v>
      </c>
      <c r="O659" s="18" t="s">
        <v>2185</v>
      </c>
      <c r="P659" s="18" t="s">
        <v>2117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1262</v>
      </c>
      <c r="K660" s="18" t="s">
        <v>1092</v>
      </c>
      <c r="L660" s="18" t="s">
        <v>1092</v>
      </c>
      <c r="M660" s="18" t="s">
        <v>1092</v>
      </c>
      <c r="N660" s="16" t="s">
        <v>1092</v>
      </c>
      <c r="O660" s="18" t="s">
        <v>1092</v>
      </c>
      <c r="P660" s="18" t="s">
        <v>1092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1082</v>
      </c>
      <c r="K661" s="18">
        <v>9790323</v>
      </c>
      <c r="L661" s="18">
        <v>874900</v>
      </c>
      <c r="M661" s="18" t="s">
        <v>2186</v>
      </c>
      <c r="N661" s="16" t="s">
        <v>1697</v>
      </c>
      <c r="O661" s="18" t="s">
        <v>2187</v>
      </c>
      <c r="P661" s="18" t="s">
        <v>1876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1077</v>
      </c>
      <c r="K662" s="18">
        <v>5019639</v>
      </c>
      <c r="L662" s="18">
        <v>872737</v>
      </c>
      <c r="M662" s="18" t="s">
        <v>2188</v>
      </c>
      <c r="N662" s="16" t="s">
        <v>1697</v>
      </c>
      <c r="O662" s="18" t="s">
        <v>2189</v>
      </c>
      <c r="P662" s="18" t="s">
        <v>2190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1077</v>
      </c>
      <c r="K663" s="18">
        <v>9790328</v>
      </c>
      <c r="L663" s="18">
        <v>876640</v>
      </c>
      <c r="M663" s="18" t="s">
        <v>2191</v>
      </c>
      <c r="N663" s="16" t="s">
        <v>1486</v>
      </c>
      <c r="O663" s="18" t="s">
        <v>2192</v>
      </c>
      <c r="P663" s="18" t="s">
        <v>2193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1077</v>
      </c>
      <c r="K664" s="18">
        <v>9790330</v>
      </c>
      <c r="L664" s="18">
        <v>876665</v>
      </c>
      <c r="M664" s="18" t="s">
        <v>2194</v>
      </c>
      <c r="N664" s="16" t="s">
        <v>1591</v>
      </c>
      <c r="O664" s="18" t="s">
        <v>2195</v>
      </c>
      <c r="P664" s="18" t="s">
        <v>2117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1262</v>
      </c>
      <c r="K665" s="18" t="s">
        <v>1092</v>
      </c>
      <c r="L665" s="18" t="s">
        <v>1092</v>
      </c>
      <c r="M665" s="18" t="s">
        <v>1092</v>
      </c>
      <c r="N665" s="16" t="s">
        <v>1092</v>
      </c>
      <c r="O665" s="18" t="s">
        <v>1092</v>
      </c>
      <c r="P665" s="18" t="s">
        <v>1092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1262</v>
      </c>
      <c r="K666" s="18" t="s">
        <v>1092</v>
      </c>
      <c r="L666" s="18" t="s">
        <v>1092</v>
      </c>
      <c r="M666" s="18" t="s">
        <v>1092</v>
      </c>
      <c r="N666" s="16" t="s">
        <v>1092</v>
      </c>
      <c r="O666" s="18" t="s">
        <v>1092</v>
      </c>
      <c r="P666" s="18" t="s">
        <v>1092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1196</v>
      </c>
      <c r="K667" s="18">
        <v>9796141</v>
      </c>
      <c r="L667" s="18">
        <v>880134</v>
      </c>
      <c r="M667" s="18" t="s">
        <v>2196</v>
      </c>
      <c r="N667" s="16" t="s">
        <v>2197</v>
      </c>
      <c r="O667" s="18" t="s">
        <v>1331</v>
      </c>
      <c r="P667" s="18" t="s">
        <v>2198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1196</v>
      </c>
      <c r="K668" s="18">
        <v>9787842</v>
      </c>
      <c r="L668" s="18">
        <v>880134</v>
      </c>
      <c r="M668" s="18" t="s">
        <v>2196</v>
      </c>
      <c r="N668" s="16" t="s">
        <v>2197</v>
      </c>
      <c r="O668" s="18" t="s">
        <v>1331</v>
      </c>
      <c r="P668" s="18" t="s">
        <v>2198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1196</v>
      </c>
      <c r="K669" s="18">
        <v>9787841</v>
      </c>
      <c r="L669" s="18">
        <v>880134</v>
      </c>
      <c r="M669" s="18" t="s">
        <v>2196</v>
      </c>
      <c r="N669" s="16" t="s">
        <v>2197</v>
      </c>
      <c r="O669" s="18" t="s">
        <v>1331</v>
      </c>
      <c r="P669" s="18" t="s">
        <v>2198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1262</v>
      </c>
      <c r="K670" s="18">
        <v>9786557</v>
      </c>
      <c r="L670" s="18">
        <v>874297</v>
      </c>
      <c r="M670" s="18" t="s">
        <v>2199</v>
      </c>
      <c r="N670" s="16" t="s">
        <v>2171</v>
      </c>
      <c r="O670" s="18" t="s">
        <v>2200</v>
      </c>
      <c r="P670" s="18" t="s">
        <v>1498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1196</v>
      </c>
      <c r="K671" s="18">
        <v>9786559</v>
      </c>
      <c r="L671" s="18">
        <v>874323</v>
      </c>
      <c r="M671" s="18" t="s">
        <v>2201</v>
      </c>
      <c r="N671" s="16" t="s">
        <v>2171</v>
      </c>
      <c r="O671" s="18" t="s">
        <v>2202</v>
      </c>
      <c r="P671" s="18" t="s">
        <v>1938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1082</v>
      </c>
      <c r="K672" s="18">
        <v>9790378</v>
      </c>
      <c r="L672" s="18">
        <v>876760</v>
      </c>
      <c r="M672" s="18" t="s">
        <v>2203</v>
      </c>
      <c r="N672" s="16" t="s">
        <v>1591</v>
      </c>
      <c r="O672" s="18" t="s">
        <v>2204</v>
      </c>
      <c r="P672" s="18" t="s">
        <v>2205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1082</v>
      </c>
      <c r="K673" s="18">
        <v>9790365</v>
      </c>
      <c r="L673" s="18">
        <v>876751</v>
      </c>
      <c r="M673" s="18" t="s">
        <v>2206</v>
      </c>
      <c r="N673" s="16" t="s">
        <v>2190</v>
      </c>
      <c r="O673" s="18" t="s">
        <v>2207</v>
      </c>
      <c r="P673" s="18" t="s">
        <v>2205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1196</v>
      </c>
      <c r="K674" s="18">
        <v>9802142</v>
      </c>
      <c r="L674" s="18">
        <v>876770</v>
      </c>
      <c r="M674" s="18" t="s">
        <v>2208</v>
      </c>
      <c r="N674" s="16" t="s">
        <v>2198</v>
      </c>
      <c r="O674" s="18" t="s">
        <v>2209</v>
      </c>
      <c r="P674" s="18" t="s">
        <v>2210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1120</v>
      </c>
      <c r="K675" s="18">
        <v>5019780</v>
      </c>
      <c r="L675" s="18">
        <v>876786</v>
      </c>
      <c r="M675" s="18" t="s">
        <v>2211</v>
      </c>
      <c r="N675" s="16" t="s">
        <v>1591</v>
      </c>
      <c r="O675" s="18" t="s">
        <v>2212</v>
      </c>
      <c r="P675" s="18" t="s">
        <v>2213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1120</v>
      </c>
      <c r="K676" s="18">
        <v>5019782</v>
      </c>
      <c r="L676" s="18">
        <v>878570</v>
      </c>
      <c r="M676" s="18" t="s">
        <v>2214</v>
      </c>
      <c r="N676" s="16" t="s">
        <v>2004</v>
      </c>
      <c r="O676" s="18" t="s">
        <v>2215</v>
      </c>
      <c r="P676" s="18" t="s">
        <v>2216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1120</v>
      </c>
      <c r="K677" s="18">
        <v>5019781</v>
      </c>
      <c r="L677" s="18">
        <v>878504</v>
      </c>
      <c r="M677" s="18" t="s">
        <v>2217</v>
      </c>
      <c r="N677" s="16" t="s">
        <v>1591</v>
      </c>
      <c r="O677" s="18" t="s">
        <v>2218</v>
      </c>
      <c r="P677" s="18" t="s">
        <v>2117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1120</v>
      </c>
      <c r="K678" s="18">
        <v>5019700</v>
      </c>
      <c r="L678" s="18">
        <v>874275</v>
      </c>
      <c r="M678" s="18" t="s">
        <v>2219</v>
      </c>
      <c r="N678" s="16" t="s">
        <v>2171</v>
      </c>
      <c r="O678" s="18" t="s">
        <v>2220</v>
      </c>
      <c r="P678" s="18" t="s">
        <v>2221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1120</v>
      </c>
      <c r="K679" s="18">
        <v>5019701</v>
      </c>
      <c r="L679" s="18">
        <v>874275</v>
      </c>
      <c r="M679" s="18" t="s">
        <v>2219</v>
      </c>
      <c r="N679" s="16" t="s">
        <v>2171</v>
      </c>
      <c r="O679" s="18" t="s">
        <v>2220</v>
      </c>
      <c r="P679" s="18" t="s">
        <v>2221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1120</v>
      </c>
      <c r="K680" s="18">
        <v>9786556</v>
      </c>
      <c r="L680" s="18">
        <v>874275</v>
      </c>
      <c r="M680" s="18" t="s">
        <v>2219</v>
      </c>
      <c r="N680" s="16" t="s">
        <v>2171</v>
      </c>
      <c r="O680" s="18" t="s">
        <v>2220</v>
      </c>
      <c r="P680" s="18" t="s">
        <v>2221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1120</v>
      </c>
      <c r="K681" s="18">
        <v>9786555</v>
      </c>
      <c r="L681" s="18">
        <v>26510</v>
      </c>
      <c r="M681" s="18" t="s">
        <v>1092</v>
      </c>
      <c r="N681" s="16" t="s">
        <v>1092</v>
      </c>
      <c r="O681" s="18" t="s">
        <v>1092</v>
      </c>
      <c r="P681" s="18" t="s">
        <v>1092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1262</v>
      </c>
      <c r="K682" s="18">
        <v>5019637</v>
      </c>
      <c r="L682" s="18" t="s">
        <v>1092</v>
      </c>
      <c r="M682" s="18" t="s">
        <v>1092</v>
      </c>
      <c r="N682" s="16" t="s">
        <v>1092</v>
      </c>
      <c r="O682" s="18" t="s">
        <v>1092</v>
      </c>
      <c r="P682" s="18" t="s">
        <v>1092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1196</v>
      </c>
      <c r="K683" s="18"/>
      <c r="L683" s="18">
        <v>889650</v>
      </c>
      <c r="M683" s="18" t="s">
        <v>2222</v>
      </c>
      <c r="N683" s="16" t="s">
        <v>2004</v>
      </c>
      <c r="O683" s="18" t="s">
        <v>2223</v>
      </c>
      <c r="P683" s="18" t="s">
        <v>2224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1262</v>
      </c>
      <c r="K684" s="18">
        <v>5019702</v>
      </c>
      <c r="L684" s="18">
        <v>874290</v>
      </c>
      <c r="M684" s="18" t="s">
        <v>2225</v>
      </c>
      <c r="N684" s="16" t="s">
        <v>2171</v>
      </c>
      <c r="O684" s="18" t="s">
        <v>1896</v>
      </c>
      <c r="P684" s="18" t="s">
        <v>1498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1082</v>
      </c>
      <c r="K685" s="18">
        <v>9790342</v>
      </c>
      <c r="L685" s="18">
        <v>876704</v>
      </c>
      <c r="M685" s="18" t="s">
        <v>2226</v>
      </c>
      <c r="N685" s="16" t="s">
        <v>1591</v>
      </c>
      <c r="O685" s="18" t="s">
        <v>2227</v>
      </c>
      <c r="P685" s="18" t="s">
        <v>2228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1196</v>
      </c>
      <c r="K686" s="18">
        <v>9790337</v>
      </c>
      <c r="L686" s="18">
        <v>876669</v>
      </c>
      <c r="M686" s="18" t="s">
        <v>2229</v>
      </c>
      <c r="N686" s="16" t="s">
        <v>1486</v>
      </c>
      <c r="O686" s="18" t="s">
        <v>2230</v>
      </c>
      <c r="P686" s="18" t="s">
        <v>2117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1082</v>
      </c>
      <c r="K687" s="18">
        <v>9786507</v>
      </c>
      <c r="L687" s="18">
        <v>874202</v>
      </c>
      <c r="M687" s="18" t="s">
        <v>2231</v>
      </c>
      <c r="N687" s="16" t="s">
        <v>2232</v>
      </c>
      <c r="O687" s="18" t="s">
        <v>2233</v>
      </c>
      <c r="P687" s="18" t="s">
        <v>2130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1082</v>
      </c>
      <c r="K688" s="18">
        <v>9786509</v>
      </c>
      <c r="L688" s="18">
        <v>874202</v>
      </c>
      <c r="M688" s="18" t="s">
        <v>2231</v>
      </c>
      <c r="N688" s="16" t="s">
        <v>2232</v>
      </c>
      <c r="O688" s="18" t="s">
        <v>2233</v>
      </c>
      <c r="P688" s="18" t="s">
        <v>2130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>
      <c r="A689" s="16">
        <v>46076</v>
      </c>
      <c r="B689" s="16">
        <v>46080</v>
      </c>
      <c r="C689" s="21" t="s">
        <v>2234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1196</v>
      </c>
      <c r="K689" s="18" t="s">
        <v>2235</v>
      </c>
      <c r="L689" s="18">
        <v>874362</v>
      </c>
      <c r="M689" s="18" t="s">
        <v>2236</v>
      </c>
      <c r="N689" s="16" t="s">
        <v>1697</v>
      </c>
      <c r="O689" s="18" t="s">
        <v>1533</v>
      </c>
      <c r="P689" s="18" t="s">
        <v>1486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1077</v>
      </c>
      <c r="K690" s="18">
        <v>5019703</v>
      </c>
      <c r="L690" s="18">
        <v>874304</v>
      </c>
      <c r="M690" s="18" t="s">
        <v>2237</v>
      </c>
      <c r="N690" s="16" t="s">
        <v>2171</v>
      </c>
      <c r="O690" s="18" t="s">
        <v>1535</v>
      </c>
      <c r="P690" s="18" t="s">
        <v>1498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1120</v>
      </c>
      <c r="K691" s="18">
        <v>9786314</v>
      </c>
      <c r="L691" s="18">
        <v>874929</v>
      </c>
      <c r="M691" s="18" t="s">
        <v>2238</v>
      </c>
      <c r="N691" s="16" t="s">
        <v>1486</v>
      </c>
      <c r="O691" s="18" t="s">
        <v>1760</v>
      </c>
      <c r="P691" s="18" t="s">
        <v>1486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>
      <c r="A692" s="16">
        <v>46076</v>
      </c>
      <c r="B692" s="16">
        <v>46084</v>
      </c>
      <c r="C692" s="21" t="s">
        <v>2239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1120</v>
      </c>
      <c r="K692" s="18" t="s">
        <v>2240</v>
      </c>
      <c r="L692" s="18">
        <v>874929</v>
      </c>
      <c r="M692" s="18" t="s">
        <v>2238</v>
      </c>
      <c r="N692" s="16" t="s">
        <v>1486</v>
      </c>
      <c r="O692" s="18" t="s">
        <v>1760</v>
      </c>
      <c r="P692" s="18" t="s">
        <v>1486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>
      <c r="A693" s="16">
        <v>46076</v>
      </c>
      <c r="B693" s="16">
        <v>46084</v>
      </c>
      <c r="C693" s="21" t="s">
        <v>2241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1120</v>
      </c>
      <c r="K693" s="18">
        <v>9786317</v>
      </c>
      <c r="L693" s="18">
        <v>874929</v>
      </c>
      <c r="M693" s="18" t="s">
        <v>2238</v>
      </c>
      <c r="N693" s="16" t="s">
        <v>1486</v>
      </c>
      <c r="O693" s="18" t="s">
        <v>1760</v>
      </c>
      <c r="P693" s="18" t="s">
        <v>1486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1120</v>
      </c>
      <c r="K694" s="18">
        <v>9786621</v>
      </c>
      <c r="L694" s="18">
        <v>874929</v>
      </c>
      <c r="M694" s="18" t="s">
        <v>2238</v>
      </c>
      <c r="N694" s="16" t="s">
        <v>1486</v>
      </c>
      <c r="O694" s="18" t="s">
        <v>1760</v>
      </c>
      <c r="P694" s="18" t="s">
        <v>1486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1196</v>
      </c>
      <c r="K695" s="18">
        <v>9786346</v>
      </c>
      <c r="L695" s="18">
        <v>874929</v>
      </c>
      <c r="M695" s="18" t="s">
        <v>2238</v>
      </c>
      <c r="N695" s="16" t="s">
        <v>1486</v>
      </c>
      <c r="O695" s="18" t="s">
        <v>1760</v>
      </c>
      <c r="P695" s="18" t="s">
        <v>1486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>
      <c r="A696" s="16">
        <v>46076</v>
      </c>
      <c r="B696" s="16">
        <v>46084</v>
      </c>
      <c r="C696" s="21" t="s">
        <v>1131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1120</v>
      </c>
      <c r="K696" s="18">
        <v>5019638</v>
      </c>
      <c r="L696" s="18">
        <v>874929</v>
      </c>
      <c r="M696" s="18" t="s">
        <v>2238</v>
      </c>
      <c r="N696" s="16" t="s">
        <v>1486</v>
      </c>
      <c r="O696" s="18" t="s">
        <v>1760</v>
      </c>
      <c r="P696" s="18" t="s">
        <v>1486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1120</v>
      </c>
      <c r="K697" s="18">
        <v>9786344</v>
      </c>
      <c r="L697" s="18">
        <v>874929</v>
      </c>
      <c r="M697" s="18" t="s">
        <v>2238</v>
      </c>
      <c r="N697" s="16" t="s">
        <v>1486</v>
      </c>
      <c r="O697" s="18" t="s">
        <v>1760</v>
      </c>
      <c r="P697" s="18" t="s">
        <v>1486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1120</v>
      </c>
      <c r="K698" s="18">
        <v>9784195</v>
      </c>
      <c r="L698" s="18">
        <v>871589</v>
      </c>
      <c r="M698" s="18" t="s">
        <v>2242</v>
      </c>
      <c r="N698" s="16" t="s">
        <v>1882</v>
      </c>
      <c r="O698" s="18" t="s">
        <v>2243</v>
      </c>
      <c r="P698" s="18" t="s">
        <v>1938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1120</v>
      </c>
      <c r="K699" s="18">
        <v>9784192</v>
      </c>
      <c r="L699" s="18">
        <v>869373</v>
      </c>
      <c r="M699" s="18" t="s">
        <v>2244</v>
      </c>
      <c r="N699" s="16" t="s">
        <v>1882</v>
      </c>
      <c r="O699" s="18" t="s">
        <v>2245</v>
      </c>
      <c r="P699" s="18" t="s">
        <v>1938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1120</v>
      </c>
      <c r="K700" s="18">
        <v>9797472</v>
      </c>
      <c r="L700" s="18">
        <v>884042</v>
      </c>
      <c r="M700" s="18" t="s">
        <v>2246</v>
      </c>
      <c r="N700" s="16" t="s">
        <v>1688</v>
      </c>
      <c r="O700" s="18" t="s">
        <v>2247</v>
      </c>
      <c r="P700" s="18" t="s">
        <v>1868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1082</v>
      </c>
      <c r="K701" s="18">
        <v>9792495</v>
      </c>
      <c r="L701" s="18">
        <v>884357</v>
      </c>
      <c r="M701" s="18" t="s">
        <v>2248</v>
      </c>
      <c r="N701" s="16" t="s">
        <v>2249</v>
      </c>
      <c r="O701" s="18" t="s">
        <v>2250</v>
      </c>
      <c r="P701" s="18" t="s">
        <v>2251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1082</v>
      </c>
      <c r="K702" s="18">
        <v>9792498</v>
      </c>
      <c r="L702" s="18">
        <v>881428</v>
      </c>
      <c r="M702" s="18" t="s">
        <v>2252</v>
      </c>
      <c r="N702" s="16" t="s">
        <v>1688</v>
      </c>
      <c r="O702" s="18" t="s">
        <v>2253</v>
      </c>
      <c r="P702" s="18" t="s">
        <v>2254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1082</v>
      </c>
      <c r="K703" s="18">
        <v>9792497</v>
      </c>
      <c r="L703" s="18">
        <v>887126</v>
      </c>
      <c r="M703" s="18" t="s">
        <v>2255</v>
      </c>
      <c r="N703" s="16" t="s">
        <v>2249</v>
      </c>
      <c r="O703" s="18" t="s">
        <v>2256</v>
      </c>
      <c r="P703" s="18" t="s">
        <v>2251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1082</v>
      </c>
      <c r="K704" s="18">
        <v>9801729</v>
      </c>
      <c r="L704" s="18">
        <v>887194</v>
      </c>
      <c r="M704" s="18" t="s">
        <v>2257</v>
      </c>
      <c r="N704" s="16" t="s">
        <v>2249</v>
      </c>
      <c r="O704" s="18" t="s">
        <v>2258</v>
      </c>
      <c r="P704" s="18" t="s">
        <v>2251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1082</v>
      </c>
      <c r="K705" s="18">
        <v>9792488</v>
      </c>
      <c r="L705" s="18">
        <v>881489</v>
      </c>
      <c r="M705" s="18" t="s">
        <v>2259</v>
      </c>
      <c r="N705" s="16" t="s">
        <v>2197</v>
      </c>
      <c r="O705" s="18" t="s">
        <v>2260</v>
      </c>
      <c r="P705" s="18" t="s">
        <v>2261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1082</v>
      </c>
      <c r="K706" s="18">
        <v>9792486</v>
      </c>
      <c r="L706" s="18">
        <v>881494</v>
      </c>
      <c r="M706" s="18" t="s">
        <v>2262</v>
      </c>
      <c r="N706" s="16" t="s">
        <v>2197</v>
      </c>
      <c r="O706" s="18" t="s">
        <v>2263</v>
      </c>
      <c r="P706" s="18" t="s">
        <v>2261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1082</v>
      </c>
      <c r="K707" s="18">
        <v>9792899</v>
      </c>
      <c r="L707" s="18" t="s">
        <v>1092</v>
      </c>
      <c r="M707" s="18" t="s">
        <v>1092</v>
      </c>
      <c r="N707" s="16" t="s">
        <v>1092</v>
      </c>
      <c r="O707" s="18" t="s">
        <v>1092</v>
      </c>
      <c r="P707" s="18" t="s">
        <v>1092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1196</v>
      </c>
      <c r="K708" s="18">
        <v>5019750</v>
      </c>
      <c r="L708" s="18" t="s">
        <v>1092</v>
      </c>
      <c r="M708" s="18" t="s">
        <v>1092</v>
      </c>
      <c r="N708" s="16" t="s">
        <v>1092</v>
      </c>
      <c r="O708" s="18" t="s">
        <v>1092</v>
      </c>
      <c r="P708" s="18" t="s">
        <v>1092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1196</v>
      </c>
      <c r="K709" s="18">
        <v>9792489</v>
      </c>
      <c r="L709" s="18">
        <v>881836</v>
      </c>
      <c r="M709" s="18" t="s">
        <v>2264</v>
      </c>
      <c r="N709" s="16" t="s">
        <v>2265</v>
      </c>
      <c r="O709" s="18" t="s">
        <v>2266</v>
      </c>
      <c r="P709" s="18" t="s">
        <v>1870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1262</v>
      </c>
      <c r="K710" s="18">
        <v>9791956</v>
      </c>
      <c r="L710" s="18">
        <v>879656</v>
      </c>
      <c r="M710" s="18" t="s">
        <v>2267</v>
      </c>
      <c r="N710" s="16" t="s">
        <v>1591</v>
      </c>
      <c r="O710" s="18" t="s">
        <v>2268</v>
      </c>
      <c r="P710" s="18" t="s">
        <v>1868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1120</v>
      </c>
      <c r="K711" s="18">
        <v>9792307</v>
      </c>
      <c r="L711" s="18">
        <v>881707</v>
      </c>
      <c r="M711" s="18" t="s">
        <v>2269</v>
      </c>
      <c r="N711" s="16" t="s">
        <v>2265</v>
      </c>
      <c r="O711" s="18" t="s">
        <v>2270</v>
      </c>
      <c r="P711" s="18" t="s">
        <v>2224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1077</v>
      </c>
      <c r="K712" s="18">
        <v>9792310</v>
      </c>
      <c r="L712" s="18">
        <v>881700</v>
      </c>
      <c r="M712" s="18" t="s">
        <v>2271</v>
      </c>
      <c r="N712" s="16" t="s">
        <v>2265</v>
      </c>
      <c r="O712" s="18" t="s">
        <v>2272</v>
      </c>
      <c r="P712" s="18" t="s">
        <v>2224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1120</v>
      </c>
      <c r="K713" s="18">
        <v>9792159</v>
      </c>
      <c r="L713" s="18">
        <v>881741</v>
      </c>
      <c r="M713" s="18" t="s">
        <v>2273</v>
      </c>
      <c r="N713" s="16" t="s">
        <v>1688</v>
      </c>
      <c r="O713" s="18" t="s">
        <v>2274</v>
      </c>
      <c r="P713" s="18" t="s">
        <v>2275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1120</v>
      </c>
      <c r="K714" s="18">
        <v>9792304</v>
      </c>
      <c r="L714" s="18">
        <v>881735</v>
      </c>
      <c r="M714" s="18" t="s">
        <v>2276</v>
      </c>
      <c r="N714" s="16" t="s">
        <v>1688</v>
      </c>
      <c r="O714" s="18" t="s">
        <v>2277</v>
      </c>
      <c r="P714" s="18" t="s">
        <v>2251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1120</v>
      </c>
      <c r="K715" s="18">
        <v>9792302</v>
      </c>
      <c r="L715" s="18">
        <v>881739</v>
      </c>
      <c r="M715" s="18" t="s">
        <v>2278</v>
      </c>
      <c r="N715" s="16" t="s">
        <v>1688</v>
      </c>
      <c r="O715" s="18" t="s">
        <v>2279</v>
      </c>
      <c r="P715" s="18" t="s">
        <v>2275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1120</v>
      </c>
      <c r="K716" s="18">
        <v>9792303</v>
      </c>
      <c r="L716" s="18">
        <v>881737</v>
      </c>
      <c r="M716" s="18" t="s">
        <v>2280</v>
      </c>
      <c r="N716" s="16" t="s">
        <v>1688</v>
      </c>
      <c r="O716" s="18" t="s">
        <v>2281</v>
      </c>
      <c r="P716" s="18" t="s">
        <v>2275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1077</v>
      </c>
      <c r="K717" s="18">
        <v>5019794</v>
      </c>
      <c r="L717" s="18">
        <v>880152</v>
      </c>
      <c r="M717" s="18" t="s">
        <v>2282</v>
      </c>
      <c r="N717" s="16" t="s">
        <v>1591</v>
      </c>
      <c r="O717" s="18" t="s">
        <v>2283</v>
      </c>
      <c r="P717" s="18" t="s">
        <v>2198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1120</v>
      </c>
      <c r="K718" s="18">
        <v>9792301</v>
      </c>
      <c r="L718" s="18">
        <v>881738</v>
      </c>
      <c r="M718" s="18" t="s">
        <v>2284</v>
      </c>
      <c r="N718" s="16" t="s">
        <v>1688</v>
      </c>
      <c r="O718" s="18" t="s">
        <v>2285</v>
      </c>
      <c r="P718" s="18" t="s">
        <v>2224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1120</v>
      </c>
      <c r="K719" s="18">
        <v>9792305</v>
      </c>
      <c r="L719" s="18">
        <v>881731</v>
      </c>
      <c r="M719" s="18" t="s">
        <v>2286</v>
      </c>
      <c r="N719" s="16" t="s">
        <v>2265</v>
      </c>
      <c r="O719" s="18" t="s">
        <v>2287</v>
      </c>
      <c r="P719" s="18" t="s">
        <v>2224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>
      <c r="A720" s="16">
        <v>46080</v>
      </c>
      <c r="B720" s="16">
        <v>46099</v>
      </c>
      <c r="C720" s="21" t="s">
        <v>1131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1120</v>
      </c>
      <c r="K720" s="18">
        <v>9802465</v>
      </c>
      <c r="L720" s="18">
        <v>889337</v>
      </c>
      <c r="M720" s="18" t="s">
        <v>2288</v>
      </c>
      <c r="N720" s="16" t="s">
        <v>2198</v>
      </c>
      <c r="O720" s="18" t="s">
        <v>2289</v>
      </c>
      <c r="P720" s="18" t="s">
        <v>2275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1077</v>
      </c>
      <c r="K721" s="18">
        <v>9792308</v>
      </c>
      <c r="L721" s="18">
        <v>881705</v>
      </c>
      <c r="M721" s="18" t="s">
        <v>2290</v>
      </c>
      <c r="N721" s="16" t="s">
        <v>2265</v>
      </c>
      <c r="O721" s="18" t="s">
        <v>2291</v>
      </c>
      <c r="P721" s="18" t="s">
        <v>2224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1077</v>
      </c>
      <c r="K722" s="18">
        <v>9791796</v>
      </c>
      <c r="L722" s="18">
        <v>878734</v>
      </c>
      <c r="M722" s="18" t="s">
        <v>2292</v>
      </c>
      <c r="N722" s="16" t="s">
        <v>1591</v>
      </c>
      <c r="O722" s="18" t="s">
        <v>2293</v>
      </c>
      <c r="P722" s="18" t="s">
        <v>2198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1082</v>
      </c>
      <c r="K723" s="18">
        <v>9791945</v>
      </c>
      <c r="L723" s="18">
        <v>878734</v>
      </c>
      <c r="M723" s="18" t="s">
        <v>2292</v>
      </c>
      <c r="N723" s="16" t="s">
        <v>1591</v>
      </c>
      <c r="O723" s="18" t="s">
        <v>2293</v>
      </c>
      <c r="P723" s="18" t="s">
        <v>2198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1077</v>
      </c>
      <c r="K724" s="18">
        <v>9791798</v>
      </c>
      <c r="L724" s="18">
        <v>878734</v>
      </c>
      <c r="M724" s="18" t="s">
        <v>2292</v>
      </c>
      <c r="N724" s="16" t="s">
        <v>1591</v>
      </c>
      <c r="O724" s="18" t="s">
        <v>2293</v>
      </c>
      <c r="P724" s="18" t="s">
        <v>2198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1082</v>
      </c>
      <c r="K725" s="18">
        <v>971944</v>
      </c>
      <c r="L725" s="18">
        <v>878734</v>
      </c>
      <c r="M725" s="18" t="s">
        <v>2292</v>
      </c>
      <c r="N725" s="16" t="s">
        <v>1591</v>
      </c>
      <c r="O725" s="18" t="s">
        <v>2293</v>
      </c>
      <c r="P725" s="18" t="s">
        <v>2198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1120</v>
      </c>
      <c r="K726" s="18">
        <v>9792306</v>
      </c>
      <c r="L726" s="18">
        <v>881723</v>
      </c>
      <c r="M726" s="18" t="s">
        <v>2294</v>
      </c>
      <c r="N726" s="16" t="s">
        <v>1688</v>
      </c>
      <c r="O726" s="18" t="s">
        <v>2295</v>
      </c>
      <c r="P726" s="18" t="s">
        <v>2224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1082</v>
      </c>
      <c r="K727" s="18">
        <v>9791943</v>
      </c>
      <c r="L727" s="18">
        <v>878734</v>
      </c>
      <c r="M727" s="18" t="s">
        <v>2292</v>
      </c>
      <c r="N727" s="16" t="s">
        <v>1591</v>
      </c>
      <c r="O727" s="18" t="s">
        <v>2293</v>
      </c>
      <c r="P727" s="18" t="s">
        <v>2198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1077</v>
      </c>
      <c r="K728" s="18">
        <v>9791942</v>
      </c>
      <c r="L728" s="18">
        <v>878734</v>
      </c>
      <c r="M728" s="18" t="s">
        <v>2292</v>
      </c>
      <c r="N728" s="16" t="s">
        <v>1591</v>
      </c>
      <c r="O728" s="18" t="s">
        <v>2293</v>
      </c>
      <c r="P728" s="18" t="s">
        <v>2198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1077</v>
      </c>
      <c r="K729" s="18">
        <v>9791941</v>
      </c>
      <c r="L729" s="18">
        <v>878734</v>
      </c>
      <c r="M729" s="18" t="s">
        <v>2292</v>
      </c>
      <c r="N729" s="16" t="s">
        <v>1591</v>
      </c>
      <c r="O729" s="18" t="s">
        <v>2293</v>
      </c>
      <c r="P729" s="18" t="s">
        <v>2198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1082</v>
      </c>
      <c r="K730" s="18">
        <v>9792313</v>
      </c>
      <c r="L730" s="18">
        <v>881633</v>
      </c>
      <c r="M730" s="18" t="s">
        <v>2296</v>
      </c>
      <c r="N730" s="16" t="s">
        <v>2297</v>
      </c>
      <c r="O730" s="18" t="s">
        <v>2298</v>
      </c>
      <c r="P730" s="18" t="s">
        <v>2299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1082</v>
      </c>
      <c r="K731" s="18">
        <v>9792313</v>
      </c>
      <c r="L731" s="18">
        <v>881633</v>
      </c>
      <c r="M731" s="18" t="s">
        <v>2300</v>
      </c>
      <c r="N731" s="16" t="s">
        <v>2297</v>
      </c>
      <c r="O731" s="18" t="s">
        <v>2301</v>
      </c>
      <c r="P731" s="18" t="s">
        <v>2302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1262</v>
      </c>
      <c r="K732" s="18">
        <v>9792417</v>
      </c>
      <c r="L732" s="18">
        <v>881510</v>
      </c>
      <c r="M732" s="18" t="s">
        <v>2303</v>
      </c>
      <c r="N732" s="16" t="s">
        <v>2304</v>
      </c>
      <c r="O732" s="18" t="s">
        <v>2305</v>
      </c>
      <c r="P732" s="18" t="s">
        <v>2302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1082</v>
      </c>
      <c r="K733" s="18">
        <v>9792410</v>
      </c>
      <c r="L733" s="18">
        <v>881531</v>
      </c>
      <c r="M733" s="18" t="s">
        <v>2306</v>
      </c>
      <c r="N733" s="16" t="s">
        <v>2297</v>
      </c>
      <c r="O733" s="18" t="s">
        <v>2307</v>
      </c>
      <c r="P733" s="18" t="s">
        <v>2299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1262</v>
      </c>
      <c r="K734" s="18">
        <v>9792418</v>
      </c>
      <c r="L734" s="18">
        <v>881508</v>
      </c>
      <c r="M734" s="18" t="s">
        <v>2308</v>
      </c>
      <c r="N734" s="16" t="s">
        <v>2297</v>
      </c>
      <c r="O734" s="18" t="s">
        <v>2309</v>
      </c>
      <c r="P734" s="18" t="s">
        <v>2302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1262</v>
      </c>
      <c r="K735" s="18">
        <v>9792417</v>
      </c>
      <c r="L735" s="18">
        <v>881510</v>
      </c>
      <c r="M735" s="18" t="s">
        <v>2310</v>
      </c>
      <c r="N735" s="16" t="s">
        <v>2304</v>
      </c>
      <c r="O735" s="18" t="s">
        <v>2311</v>
      </c>
      <c r="P735" s="18" t="s">
        <v>2299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1082</v>
      </c>
      <c r="K736" s="18">
        <v>9792411</v>
      </c>
      <c r="L736" s="18">
        <v>881521</v>
      </c>
      <c r="M736" s="18" t="s">
        <v>2312</v>
      </c>
      <c r="N736" s="16" t="s">
        <v>2297</v>
      </c>
      <c r="O736" s="18" t="s">
        <v>2313</v>
      </c>
      <c r="P736" s="18" t="s">
        <v>2302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1082</v>
      </c>
      <c r="K737" s="18">
        <v>9792409</v>
      </c>
      <c r="L737" s="18">
        <v>881539</v>
      </c>
      <c r="M737" s="18" t="s">
        <v>2314</v>
      </c>
      <c r="N737" s="16" t="s">
        <v>2297</v>
      </c>
      <c r="O737" s="18" t="s">
        <v>2315</v>
      </c>
      <c r="P737" s="18" t="s">
        <v>2299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1082</v>
      </c>
      <c r="K738" s="18">
        <v>9792411</v>
      </c>
      <c r="L738" s="18">
        <v>881521</v>
      </c>
      <c r="M738" s="18" t="s">
        <v>2316</v>
      </c>
      <c r="N738" s="16" t="s">
        <v>2297</v>
      </c>
      <c r="O738" s="18" t="s">
        <v>2317</v>
      </c>
      <c r="P738" s="18" t="s">
        <v>2318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1082</v>
      </c>
      <c r="K739" s="18">
        <v>9792410</v>
      </c>
      <c r="L739" s="18">
        <v>881531</v>
      </c>
      <c r="M739" s="18" t="s">
        <v>2319</v>
      </c>
      <c r="N739" s="16" t="s">
        <v>2297</v>
      </c>
      <c r="O739" s="18" t="s">
        <v>1929</v>
      </c>
      <c r="P739" s="18" t="s">
        <v>2302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1082</v>
      </c>
      <c r="K740" s="18">
        <v>9792409</v>
      </c>
      <c r="L740" s="18">
        <v>881539</v>
      </c>
      <c r="M740" s="18" t="s">
        <v>2320</v>
      </c>
      <c r="N740" s="16" t="s">
        <v>2297</v>
      </c>
      <c r="O740" s="18" t="s">
        <v>2321</v>
      </c>
      <c r="P740" s="18" t="s">
        <v>2302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1262</v>
      </c>
      <c r="K741" s="18">
        <v>9792418</v>
      </c>
      <c r="L741" s="18">
        <v>881508</v>
      </c>
      <c r="M741" s="18" t="s">
        <v>2322</v>
      </c>
      <c r="N741" s="16" t="s">
        <v>2297</v>
      </c>
      <c r="O741" s="18" t="s">
        <v>2323</v>
      </c>
      <c r="P741" s="18" t="s">
        <v>2299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1082</v>
      </c>
      <c r="K742" s="18">
        <v>9792499</v>
      </c>
      <c r="L742" s="18">
        <v>881404</v>
      </c>
      <c r="M742" s="18" t="s">
        <v>2324</v>
      </c>
      <c r="N742" s="16" t="s">
        <v>2197</v>
      </c>
      <c r="O742" s="18" t="s">
        <v>2325</v>
      </c>
      <c r="P742" s="18" t="s">
        <v>2326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1082</v>
      </c>
      <c r="K743" s="18">
        <v>9792311</v>
      </c>
      <c r="L743" s="18">
        <v>881652</v>
      </c>
      <c r="M743" s="18" t="s">
        <v>2327</v>
      </c>
      <c r="N743" s="16" t="s">
        <v>2197</v>
      </c>
      <c r="O743" s="18" t="s">
        <v>2328</v>
      </c>
      <c r="P743" s="18" t="s">
        <v>2326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1082</v>
      </c>
      <c r="K744" s="18">
        <v>9792312</v>
      </c>
      <c r="L744" s="18">
        <v>882048</v>
      </c>
      <c r="M744" s="18" t="s">
        <v>2329</v>
      </c>
      <c r="N744" s="16" t="s">
        <v>1868</v>
      </c>
      <c r="O744" s="18" t="s">
        <v>2330</v>
      </c>
      <c r="P744" s="18" t="s">
        <v>2251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1082</v>
      </c>
      <c r="K745" s="18">
        <v>9792314</v>
      </c>
      <c r="L745" s="18">
        <v>881552</v>
      </c>
      <c r="M745" s="18" t="s">
        <v>2331</v>
      </c>
      <c r="N745" s="16" t="s">
        <v>2197</v>
      </c>
      <c r="O745" s="18" t="s">
        <v>2332</v>
      </c>
      <c r="P745" s="18" t="s">
        <v>2261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1082</v>
      </c>
      <c r="K746" s="18">
        <v>9791947</v>
      </c>
      <c r="L746" s="18">
        <v>879614</v>
      </c>
      <c r="M746" s="18" t="s">
        <v>2333</v>
      </c>
      <c r="N746" s="16" t="s">
        <v>1591</v>
      </c>
      <c r="O746" s="18" t="s">
        <v>2334</v>
      </c>
      <c r="P746" s="18" t="s">
        <v>2335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1082</v>
      </c>
      <c r="K747" s="18">
        <v>9792315</v>
      </c>
      <c r="L747" s="18">
        <v>881485</v>
      </c>
      <c r="M747" s="18" t="s">
        <v>2336</v>
      </c>
      <c r="N747" s="16" t="s">
        <v>2197</v>
      </c>
      <c r="O747" s="18" t="s">
        <v>2337</v>
      </c>
      <c r="P747" s="18" t="s">
        <v>2261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1082</v>
      </c>
      <c r="K748" s="18">
        <v>9792408</v>
      </c>
      <c r="L748" s="18">
        <v>881541</v>
      </c>
      <c r="M748" s="18" t="s">
        <v>2338</v>
      </c>
      <c r="N748" s="16" t="s">
        <v>2197</v>
      </c>
      <c r="O748" s="18" t="s">
        <v>2339</v>
      </c>
      <c r="P748" s="18" t="s">
        <v>2261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1082</v>
      </c>
      <c r="K749" s="18">
        <v>9791949</v>
      </c>
      <c r="L749" s="18">
        <v>879614</v>
      </c>
      <c r="M749" s="18" t="s">
        <v>2333</v>
      </c>
      <c r="N749" s="16" t="s">
        <v>1591</v>
      </c>
      <c r="O749" s="18" t="s">
        <v>2334</v>
      </c>
      <c r="P749" s="18" t="s">
        <v>2335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1082</v>
      </c>
      <c r="K750" s="18">
        <v>9791946</v>
      </c>
      <c r="L750" s="18">
        <v>879614</v>
      </c>
      <c r="M750" s="18" t="s">
        <v>2333</v>
      </c>
      <c r="N750" s="16" t="s">
        <v>1591</v>
      </c>
      <c r="O750" s="18" t="s">
        <v>2334</v>
      </c>
      <c r="P750" s="18" t="s">
        <v>2335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1082</v>
      </c>
      <c r="K751" s="18">
        <v>9791948</v>
      </c>
      <c r="L751" s="18">
        <v>879614</v>
      </c>
      <c r="M751" s="18" t="s">
        <v>2333</v>
      </c>
      <c r="N751" s="16" t="s">
        <v>1591</v>
      </c>
      <c r="O751" s="18" t="s">
        <v>2334</v>
      </c>
      <c r="P751" s="18" t="s">
        <v>2335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1082</v>
      </c>
      <c r="K752" s="18">
        <v>9791950</v>
      </c>
      <c r="L752" s="18">
        <v>879614</v>
      </c>
      <c r="M752" s="18" t="s">
        <v>2333</v>
      </c>
      <c r="N752" s="16" t="s">
        <v>1591</v>
      </c>
      <c r="O752" s="18" t="s">
        <v>2334</v>
      </c>
      <c r="P752" s="18" t="s">
        <v>2335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1306</v>
      </c>
      <c r="G753" s="22">
        <v>9314</v>
      </c>
      <c r="H753" s="22"/>
      <c r="I753" s="22">
        <f t="shared" si="12"/>
        <v>9314</v>
      </c>
      <c r="J753" s="18" t="s">
        <v>1120</v>
      </c>
      <c r="K753" s="18">
        <v>5019790</v>
      </c>
      <c r="L753" s="18">
        <v>879728</v>
      </c>
      <c r="M753" s="18" t="s">
        <v>2340</v>
      </c>
      <c r="N753" s="16" t="s">
        <v>1591</v>
      </c>
      <c r="O753" s="18" t="s">
        <v>1529</v>
      </c>
      <c r="P753" s="18" t="s">
        <v>1591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1308</v>
      </c>
      <c r="G754" s="22">
        <v>8812</v>
      </c>
      <c r="H754" s="22"/>
      <c r="I754" s="22">
        <f t="shared" si="12"/>
        <v>8812</v>
      </c>
      <c r="J754" s="18" t="s">
        <v>1120</v>
      </c>
      <c r="K754" s="18">
        <v>5019791</v>
      </c>
      <c r="L754" s="18">
        <v>879728</v>
      </c>
      <c r="M754" s="18" t="s">
        <v>2340</v>
      </c>
      <c r="N754" s="16" t="s">
        <v>1591</v>
      </c>
      <c r="O754" s="18" t="s">
        <v>1529</v>
      </c>
      <c r="P754" s="18" t="s">
        <v>1591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1110</v>
      </c>
      <c r="K755" s="18">
        <v>9792416</v>
      </c>
      <c r="L755" s="18">
        <v>881516</v>
      </c>
      <c r="M755" s="18" t="s">
        <v>2341</v>
      </c>
      <c r="N755" s="16" t="s">
        <v>2197</v>
      </c>
      <c r="O755" s="18" t="s">
        <v>2342</v>
      </c>
      <c r="P755" s="18" t="s">
        <v>1870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1262</v>
      </c>
      <c r="K756" s="18">
        <v>9792419</v>
      </c>
      <c r="L756" s="18">
        <v>887318</v>
      </c>
      <c r="M756" s="18" t="s">
        <v>2343</v>
      </c>
      <c r="N756" s="16" t="s">
        <v>2249</v>
      </c>
      <c r="O756" s="18" t="s">
        <v>2344</v>
      </c>
      <c r="P756" s="18" t="s">
        <v>2345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1262</v>
      </c>
      <c r="K757" s="18">
        <v>9792482</v>
      </c>
      <c r="L757" s="18">
        <v>887302</v>
      </c>
      <c r="M757" s="18" t="s">
        <v>2346</v>
      </c>
      <c r="N757" s="16" t="s">
        <v>2249</v>
      </c>
      <c r="O757" s="18" t="s">
        <v>2347</v>
      </c>
      <c r="P757" s="18" t="s">
        <v>2345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1120</v>
      </c>
      <c r="K758" s="18">
        <v>9792413</v>
      </c>
      <c r="L758" s="18">
        <v>881517</v>
      </c>
      <c r="M758" s="18" t="s">
        <v>2348</v>
      </c>
      <c r="N758" s="16" t="s">
        <v>2197</v>
      </c>
      <c r="O758" s="18" t="s">
        <v>2349</v>
      </c>
      <c r="P758" s="18" t="s">
        <v>1870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1082</v>
      </c>
      <c r="K759" s="18">
        <v>9796222</v>
      </c>
      <c r="L759" s="18">
        <v>880400</v>
      </c>
      <c r="M759" s="18" t="s">
        <v>2350</v>
      </c>
      <c r="N759" s="16" t="s">
        <v>2197</v>
      </c>
      <c r="O759" s="18" t="s">
        <v>2351</v>
      </c>
      <c r="P759" s="18" t="s">
        <v>1870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1196</v>
      </c>
      <c r="K760" s="18">
        <v>9792066</v>
      </c>
      <c r="L760" s="18">
        <v>879677</v>
      </c>
      <c r="M760" s="18" t="s">
        <v>2352</v>
      </c>
      <c r="N760" s="16" t="s">
        <v>1591</v>
      </c>
      <c r="O760" s="18" t="s">
        <v>2353</v>
      </c>
      <c r="P760" s="18" t="s">
        <v>1591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1120</v>
      </c>
      <c r="K761" s="18">
        <v>5019749</v>
      </c>
      <c r="L761" s="18" t="s">
        <v>1092</v>
      </c>
      <c r="M761" s="18" t="s">
        <v>1092</v>
      </c>
      <c r="N761" s="16" t="s">
        <v>1092</v>
      </c>
      <c r="O761" s="18" t="s">
        <v>1092</v>
      </c>
      <c r="P761" s="18" t="s">
        <v>1092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1120</v>
      </c>
      <c r="K762" s="18">
        <v>5019749</v>
      </c>
      <c r="L762" s="18" t="s">
        <v>1092</v>
      </c>
      <c r="M762" s="18" t="s">
        <v>1092</v>
      </c>
      <c r="N762" s="16" t="s">
        <v>1092</v>
      </c>
      <c r="O762" s="18" t="s">
        <v>1092</v>
      </c>
      <c r="P762" s="18" t="s">
        <v>1092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1196</v>
      </c>
      <c r="K763" s="18">
        <v>9792405</v>
      </c>
      <c r="L763" s="18">
        <v>881544</v>
      </c>
      <c r="M763" s="18" t="s">
        <v>2354</v>
      </c>
      <c r="N763" s="16" t="s">
        <v>2197</v>
      </c>
      <c r="O763" s="18" t="s">
        <v>2355</v>
      </c>
      <c r="P763" s="18" t="s">
        <v>2261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1196</v>
      </c>
      <c r="K764" s="18">
        <v>9792492</v>
      </c>
      <c r="L764" s="18">
        <v>882068</v>
      </c>
      <c r="M764" s="18" t="s">
        <v>2356</v>
      </c>
      <c r="N764" s="16" t="s">
        <v>1868</v>
      </c>
      <c r="O764" s="18" t="s">
        <v>2357</v>
      </c>
      <c r="P764" s="18" t="s">
        <v>1870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>
      <c r="A765" s="16">
        <v>46080</v>
      </c>
      <c r="B765" s="16">
        <v>46090</v>
      </c>
      <c r="C765" s="21" t="s">
        <v>2358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1082</v>
      </c>
      <c r="K765" s="18">
        <v>9792542</v>
      </c>
      <c r="L765" s="18">
        <v>880150</v>
      </c>
      <c r="M765" s="18" t="s">
        <v>2359</v>
      </c>
      <c r="N765" s="16" t="s">
        <v>1591</v>
      </c>
      <c r="O765" s="18" t="s">
        <v>2360</v>
      </c>
      <c r="P765" s="18" t="s">
        <v>2261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1082</v>
      </c>
      <c r="K766" s="18">
        <v>9792896</v>
      </c>
      <c r="L766" s="18">
        <v>880127</v>
      </c>
      <c r="M766" s="18" t="s">
        <v>2361</v>
      </c>
      <c r="N766" s="16" t="s">
        <v>1591</v>
      </c>
      <c r="O766" s="18" t="s">
        <v>2107</v>
      </c>
      <c r="P766" s="18" t="s">
        <v>2197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1082</v>
      </c>
      <c r="K767" s="18">
        <v>9792493</v>
      </c>
      <c r="L767" s="18">
        <v>882317</v>
      </c>
      <c r="M767" s="18" t="s">
        <v>2362</v>
      </c>
      <c r="N767" s="16" t="s">
        <v>2091</v>
      </c>
      <c r="O767" s="18" t="s">
        <v>2363</v>
      </c>
      <c r="P767" s="18" t="s">
        <v>1688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>
      <c r="A768" s="16">
        <v>46080</v>
      </c>
      <c r="B768" s="16">
        <v>46086</v>
      </c>
      <c r="C768" s="21" t="s">
        <v>1131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1196</v>
      </c>
      <c r="K768" s="18" t="s">
        <v>1131</v>
      </c>
      <c r="L768" s="18" t="s">
        <v>1092</v>
      </c>
      <c r="M768" s="18" t="s">
        <v>1092</v>
      </c>
      <c r="N768" s="16" t="s">
        <v>1092</v>
      </c>
      <c r="O768" s="18" t="s">
        <v>1092</v>
      </c>
      <c r="P768" s="18" t="s">
        <v>1092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>
      <c r="A769" s="16">
        <v>46148</v>
      </c>
      <c r="B769" s="16">
        <v>46149</v>
      </c>
      <c r="C769" s="21">
        <v>41521070</v>
      </c>
      <c r="D769" s="16" t="str">
        <f>IFERROR(VLOOKUP(Tabela5[[#This Row],[PREFIXO ]],Tabela4[#All],2,0),"CENTRO DE CUSTO")</f>
        <v>MICROONIBUS SPRINTER 417 CDI K42B</v>
      </c>
      <c r="E769" s="18" t="s">
        <v>110</v>
      </c>
      <c r="F769" s="21">
        <v>8765</v>
      </c>
      <c r="G769" s="22">
        <v>780</v>
      </c>
      <c r="H769" s="22">
        <v>1838.89</v>
      </c>
      <c r="I769" s="22">
        <f t="shared" si="13"/>
        <v>2618.8900000000003</v>
      </c>
      <c r="J769" s="18" t="s">
        <v>1082</v>
      </c>
      <c r="K769" s="18">
        <v>9855395</v>
      </c>
      <c r="L769" s="18">
        <v>924930</v>
      </c>
      <c r="M769" s="18" t="s">
        <v>2364</v>
      </c>
      <c r="N769" s="16" t="s">
        <v>2365</v>
      </c>
      <c r="O769" s="18"/>
      <c r="P769" s="18"/>
      <c r="Q769" s="29" t="str" cm="1">
        <f t="array" ref="Q769">_xlfn.IFS(
A769="","",
AND(A769&lt;&gt;"",B769=""),"FALTA LANÇAMENTO",
AND(B769&lt;&gt;"",M769=""),"FALTA O PEDIDO",
AND(M769&lt;&gt;"",O769=""),"FALTA NF",
O769&lt;&gt;"","CONCLUÍDO")</f>
        <v>FALTA NF</v>
      </c>
      <c r="R769" s="36"/>
    </row>
    <row r="770" spans="1:18">
      <c r="A770" s="16">
        <v>46080</v>
      </c>
      <c r="B770" s="16">
        <v>46090</v>
      </c>
      <c r="C770" s="21">
        <v>16170022</v>
      </c>
      <c r="D770" s="16" t="str">
        <f>IFERROR(VLOOKUP(Tabela5[[#This Row],[PREFIXO ]],Tabela4[#All],2,0),"CENTRO DE CUSTO")</f>
        <v>CENTRO DE CUSTO</v>
      </c>
      <c r="E770" s="18" t="s">
        <v>255</v>
      </c>
      <c r="F770" s="21">
        <v>857</v>
      </c>
      <c r="G770" s="22">
        <v>2400</v>
      </c>
      <c r="H770" s="22"/>
      <c r="I770" s="22">
        <f t="shared" si="13"/>
        <v>2400</v>
      </c>
      <c r="J770" s="18" t="s">
        <v>1196</v>
      </c>
      <c r="K770" s="18">
        <v>9792027</v>
      </c>
      <c r="L770" s="18">
        <v>880171</v>
      </c>
      <c r="M770" s="18" t="s">
        <v>2366</v>
      </c>
      <c r="N770" s="16" t="s">
        <v>2126</v>
      </c>
      <c r="O770" s="18" t="s">
        <v>1535</v>
      </c>
      <c r="P770" s="18" t="s">
        <v>2126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>
      <c r="A771" s="16">
        <v>46080</v>
      </c>
      <c r="B771" s="16">
        <v>46090</v>
      </c>
      <c r="C771" s="21">
        <v>51521057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860</v>
      </c>
      <c r="G771" s="22">
        <v>1472.5</v>
      </c>
      <c r="H771" s="22"/>
      <c r="I771" s="22">
        <f t="shared" si="13"/>
        <v>1472.5</v>
      </c>
      <c r="J771" s="18" t="s">
        <v>1196</v>
      </c>
      <c r="K771" s="18">
        <v>9792030</v>
      </c>
      <c r="L771" s="18">
        <v>880171</v>
      </c>
      <c r="M771" s="18" t="s">
        <v>2366</v>
      </c>
      <c r="N771" s="16" t="s">
        <v>2126</v>
      </c>
      <c r="O771" s="18" t="s">
        <v>1535</v>
      </c>
      <c r="P771" s="18" t="s">
        <v>2126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>
      <c r="A772" s="16">
        <v>46080</v>
      </c>
      <c r="B772" s="16">
        <v>46090</v>
      </c>
      <c r="C772" s="21">
        <v>51521058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858</v>
      </c>
      <c r="G772" s="22">
        <v>1472.5</v>
      </c>
      <c r="H772" s="22"/>
      <c r="I772" s="22">
        <f t="shared" si="13"/>
        <v>1472.5</v>
      </c>
      <c r="J772" s="18" t="s">
        <v>1196</v>
      </c>
      <c r="K772" s="18">
        <v>9792034</v>
      </c>
      <c r="L772" s="18">
        <v>880171</v>
      </c>
      <c r="M772" s="18" t="s">
        <v>2366</v>
      </c>
      <c r="N772" s="16" t="s">
        <v>2126</v>
      </c>
      <c r="O772" s="18" t="s">
        <v>1535</v>
      </c>
      <c r="P772" s="18" t="s">
        <v>2126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>
      <c r="A773" s="16">
        <v>46080</v>
      </c>
      <c r="B773" s="16">
        <v>46090</v>
      </c>
      <c r="C773" s="21">
        <v>51521065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861</v>
      </c>
      <c r="G773" s="22">
        <v>1377.5</v>
      </c>
      <c r="H773" s="22"/>
      <c r="I773" s="22">
        <f t="shared" si="13"/>
        <v>1377.5</v>
      </c>
      <c r="J773" s="18" t="s">
        <v>1196</v>
      </c>
      <c r="K773" s="18">
        <v>9792029</v>
      </c>
      <c r="L773" s="18">
        <v>880171</v>
      </c>
      <c r="M773" s="18" t="s">
        <v>2366</v>
      </c>
      <c r="N773" s="16" t="s">
        <v>2126</v>
      </c>
      <c r="O773" s="18" t="s">
        <v>1535</v>
      </c>
      <c r="P773" s="18" t="s">
        <v>2126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>
      <c r="A774" s="16">
        <v>46080</v>
      </c>
      <c r="B774" s="16">
        <v>46090</v>
      </c>
      <c r="C774" s="21">
        <v>51521045</v>
      </c>
      <c r="D774" s="16" t="str">
        <f>IFERROR(VLOOKUP(Tabela5[[#This Row],[PREFIXO ]],Tabela4[#All],2,0),"CENTRO DE CUSTO")</f>
        <v>COLHED ALGODÃO JOHN DEERE CP 690</v>
      </c>
      <c r="E774" s="18" t="s">
        <v>255</v>
      </c>
      <c r="F774" s="21">
        <v>862</v>
      </c>
      <c r="G774" s="22">
        <v>1300</v>
      </c>
      <c r="H774" s="22"/>
      <c r="I774" s="22">
        <f t="shared" si="13"/>
        <v>1300</v>
      </c>
      <c r="J774" s="18" t="s">
        <v>1196</v>
      </c>
      <c r="K774" s="18">
        <v>9792028</v>
      </c>
      <c r="L774" s="18">
        <v>880171</v>
      </c>
      <c r="M774" s="18" t="s">
        <v>2366</v>
      </c>
      <c r="N774" s="16" t="s">
        <v>2126</v>
      </c>
      <c r="O774" s="18" t="s">
        <v>1535</v>
      </c>
      <c r="P774" s="18" t="s">
        <v>2126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>
      <c r="A775" s="16">
        <v>46080</v>
      </c>
      <c r="B775" s="16">
        <v>46090</v>
      </c>
      <c r="C775" s="21">
        <v>500580071</v>
      </c>
      <c r="D775" s="16" t="str">
        <f>IFERROR(VLOOKUP(Tabela5[[#This Row],[PREFIXO ]],Tabela4[#All],2,0),"CENTRO DE CUSTO")</f>
        <v>Tratores Leves</v>
      </c>
      <c r="E775" s="18" t="s">
        <v>255</v>
      </c>
      <c r="F775" s="21">
        <v>859</v>
      </c>
      <c r="G775" s="22">
        <v>1000</v>
      </c>
      <c r="H775" s="22"/>
      <c r="I775" s="22">
        <f t="shared" si="13"/>
        <v>1000</v>
      </c>
      <c r="J775" s="18" t="s">
        <v>1196</v>
      </c>
      <c r="K775" s="18">
        <v>5019752</v>
      </c>
      <c r="L775" s="18">
        <v>880171</v>
      </c>
      <c r="M775" s="18" t="s">
        <v>2366</v>
      </c>
      <c r="N775" s="16" t="s">
        <v>2126</v>
      </c>
      <c r="O775" s="18" t="s">
        <v>1535</v>
      </c>
      <c r="P775" s="18" t="s">
        <v>2126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>
      <c r="A776" s="16">
        <v>46080</v>
      </c>
      <c r="B776" s="16">
        <v>46084</v>
      </c>
      <c r="C776" s="21">
        <v>15190036</v>
      </c>
      <c r="D776" s="16" t="str">
        <f>IFERROR(VLOOKUP(Tabela5[[#This Row],[PREFIXO ]],Tabela4[#All],2,0),"CENTRO DE CUSTO")</f>
        <v>CENTRO DE CUSTO</v>
      </c>
      <c r="E776" s="18" t="s">
        <v>255</v>
      </c>
      <c r="F776" s="21">
        <v>856</v>
      </c>
      <c r="G776" s="22">
        <v>882</v>
      </c>
      <c r="H776" s="22"/>
      <c r="I776" s="22">
        <f t="shared" si="13"/>
        <v>882</v>
      </c>
      <c r="J776" s="18" t="s">
        <v>1196</v>
      </c>
      <c r="K776" s="18">
        <v>9792026</v>
      </c>
      <c r="L776" s="18">
        <v>880171</v>
      </c>
      <c r="M776" s="18" t="s">
        <v>2366</v>
      </c>
      <c r="N776" s="16" t="s">
        <v>2126</v>
      </c>
      <c r="O776" s="18" t="s">
        <v>1535</v>
      </c>
      <c r="P776" s="18" t="s">
        <v>2126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>
      <c r="A777" s="16">
        <v>46080</v>
      </c>
      <c r="B777" s="16">
        <v>46092</v>
      </c>
      <c r="C777" s="21">
        <v>500580073</v>
      </c>
      <c r="D777" s="16" t="str">
        <f>IFERROR(VLOOKUP(Tabela5[[#This Row],[PREFIXO ]],Tabela4[#All],2,0),"CENTRO DE CUSTO")</f>
        <v>Tratores Pesados</v>
      </c>
      <c r="E777" s="18" t="s">
        <v>259</v>
      </c>
      <c r="F777" s="21" t="s">
        <v>2367</v>
      </c>
      <c r="G777" s="22">
        <v>48000</v>
      </c>
      <c r="H777" s="22"/>
      <c r="I777" s="22">
        <f t="shared" si="13"/>
        <v>48000</v>
      </c>
      <c r="J777" s="18" t="s">
        <v>1196</v>
      </c>
      <c r="K777" s="18">
        <v>5019849</v>
      </c>
      <c r="L777" s="18">
        <v>884144</v>
      </c>
      <c r="M777" s="18" t="s">
        <v>2368</v>
      </c>
      <c r="N777" s="16" t="s">
        <v>1688</v>
      </c>
      <c r="O777" s="18" t="s">
        <v>2200</v>
      </c>
      <c r="P777" s="18" t="s">
        <v>2004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>
      <c r="A778" s="16">
        <v>46080</v>
      </c>
      <c r="B778" s="16">
        <v>46098</v>
      </c>
      <c r="C778" s="21">
        <v>11519024</v>
      </c>
      <c r="D778" s="16" t="str">
        <f>IFERROR(VLOOKUP(Tabela5[[#This Row],[PREFIXO ]],Tabela4[#All],2,0),"CENTRO DE CUSTO")</f>
        <v>CENTRO DE CUSTO</v>
      </c>
      <c r="E778" s="18" t="s">
        <v>259</v>
      </c>
      <c r="F778" s="21" t="s">
        <v>2369</v>
      </c>
      <c r="G778" s="22">
        <v>45.86</v>
      </c>
      <c r="H778" s="22">
        <v>18941.45</v>
      </c>
      <c r="I778" s="22">
        <f t="shared" si="13"/>
        <v>18987.310000000001</v>
      </c>
      <c r="J778" s="18" t="s">
        <v>1196</v>
      </c>
      <c r="K778" s="18">
        <v>9792540</v>
      </c>
      <c r="L778" s="18">
        <v>888650</v>
      </c>
      <c r="M778" s="18" t="s">
        <v>2370</v>
      </c>
      <c r="N778" s="16" t="s">
        <v>2198</v>
      </c>
      <c r="O778" s="18" t="s">
        <v>1092</v>
      </c>
      <c r="P778" s="18" t="s">
        <v>1092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>
      <c r="A779" s="16">
        <v>46080</v>
      </c>
      <c r="B779" s="16">
        <v>46092</v>
      </c>
      <c r="C779" s="21">
        <v>15048015</v>
      </c>
      <c r="D779" s="16" t="str">
        <f>IFERROR(VLOOKUP(Tabela5[[#This Row],[PREFIXO ]],Tabela4[#All],2,0),"CENTRO DE CUSTO")</f>
        <v>TRAT PN EXT PES FENDT VARIO 1050</v>
      </c>
      <c r="E779" s="18" t="s">
        <v>259</v>
      </c>
      <c r="F779" s="21" t="s">
        <v>2371</v>
      </c>
      <c r="G779" s="22">
        <v>43.52</v>
      </c>
      <c r="H779" s="22">
        <v>4539.93</v>
      </c>
      <c r="I779" s="22">
        <f t="shared" si="13"/>
        <v>4583.4500000000007</v>
      </c>
      <c r="J779" s="18" t="s">
        <v>1196</v>
      </c>
      <c r="K779" s="18">
        <v>9792550</v>
      </c>
      <c r="L779" s="18">
        <v>881387</v>
      </c>
      <c r="M779" s="18" t="s">
        <v>2372</v>
      </c>
      <c r="N779" s="16" t="s">
        <v>1688</v>
      </c>
      <c r="O779" s="18" t="s">
        <v>2373</v>
      </c>
      <c r="P779" s="18" t="s">
        <v>2374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>
      <c r="A780" s="16">
        <v>46080</v>
      </c>
      <c r="B780" s="16">
        <v>46092</v>
      </c>
      <c r="C780" s="21">
        <v>11521030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2375</v>
      </c>
      <c r="G780" s="22">
        <v>49.99</v>
      </c>
      <c r="H780" s="22">
        <v>1001.58</v>
      </c>
      <c r="I780" s="22">
        <f t="shared" si="13"/>
        <v>1051.57</v>
      </c>
      <c r="J780" s="18" t="s">
        <v>1196</v>
      </c>
      <c r="K780" s="18">
        <v>9792549</v>
      </c>
      <c r="L780" s="18">
        <v>881398</v>
      </c>
      <c r="M780" s="18" t="s">
        <v>2376</v>
      </c>
      <c r="N780" s="16" t="s">
        <v>1688</v>
      </c>
      <c r="O780" s="18" t="s">
        <v>2377</v>
      </c>
      <c r="P780" s="18" t="s">
        <v>2378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>
      <c r="A781" s="16">
        <v>46080</v>
      </c>
      <c r="B781" s="16">
        <v>46092</v>
      </c>
      <c r="C781" s="21">
        <v>11521032</v>
      </c>
      <c r="D781" s="16" t="str">
        <f>IFERROR(VLOOKUP(Tabela5[[#This Row],[PREFIXO ]],Tabela4[#All],2,0),"CENTRO DE CUSTO")</f>
        <v>TRAT PN EXT PES FENDT 1046 VARIO</v>
      </c>
      <c r="E781" s="18" t="s">
        <v>259</v>
      </c>
      <c r="F781" s="21" t="s">
        <v>2379</v>
      </c>
      <c r="G781" s="22">
        <v>50.01</v>
      </c>
      <c r="H781" s="22">
        <v>311.01</v>
      </c>
      <c r="I781" s="22">
        <f t="shared" si="13"/>
        <v>361.02</v>
      </c>
      <c r="J781" s="18" t="s">
        <v>1196</v>
      </c>
      <c r="K781" s="18">
        <v>979249</v>
      </c>
      <c r="L781" s="18">
        <v>881474</v>
      </c>
      <c r="M781" s="18" t="s">
        <v>2380</v>
      </c>
      <c r="N781" s="16" t="s">
        <v>1688</v>
      </c>
      <c r="O781" s="18" t="s">
        <v>2381</v>
      </c>
      <c r="P781" s="18" t="s">
        <v>2382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>
      <c r="A782" s="16">
        <v>46080</v>
      </c>
      <c r="B782" s="16">
        <v>46090</v>
      </c>
      <c r="C782" s="21" t="s">
        <v>2383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193343</v>
      </c>
      <c r="G782" s="22">
        <v>1100</v>
      </c>
      <c r="H782" s="22">
        <v>4475</v>
      </c>
      <c r="I782" s="22">
        <f t="shared" si="13"/>
        <v>5575</v>
      </c>
      <c r="J782" s="18" t="s">
        <v>1082</v>
      </c>
      <c r="K782" s="18">
        <v>9792546</v>
      </c>
      <c r="L782" s="18">
        <v>881431</v>
      </c>
      <c r="M782" s="18" t="s">
        <v>2384</v>
      </c>
      <c r="N782" s="16" t="s">
        <v>2197</v>
      </c>
      <c r="O782" s="18" t="s">
        <v>2385</v>
      </c>
      <c r="P782" s="18" t="s">
        <v>2326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>
      <c r="A783" s="16">
        <v>46080</v>
      </c>
      <c r="B783" s="16">
        <v>46090</v>
      </c>
      <c r="C783" s="21" t="s">
        <v>2386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192491</v>
      </c>
      <c r="G783" s="22"/>
      <c r="H783" s="22">
        <v>2585</v>
      </c>
      <c r="I783" s="22">
        <f t="shared" si="13"/>
        <v>2585</v>
      </c>
      <c r="J783" s="18" t="s">
        <v>1082</v>
      </c>
      <c r="K783" s="18">
        <v>9793027</v>
      </c>
      <c r="L783" s="18" t="s">
        <v>1092</v>
      </c>
      <c r="M783" s="18" t="s">
        <v>1092</v>
      </c>
      <c r="N783" s="16" t="s">
        <v>1092</v>
      </c>
      <c r="O783" s="18" t="s">
        <v>1092</v>
      </c>
      <c r="P783" s="18" t="s">
        <v>1092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>
      <c r="A784" s="16">
        <v>46080</v>
      </c>
      <c r="B784" s="16">
        <v>46090</v>
      </c>
      <c r="C784" s="21" t="s">
        <v>2387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192947</v>
      </c>
      <c r="G784" s="22">
        <v>2500</v>
      </c>
      <c r="H784" s="22"/>
      <c r="I784" s="22">
        <f t="shared" si="13"/>
        <v>2500</v>
      </c>
      <c r="J784" s="18" t="s">
        <v>1082</v>
      </c>
      <c r="K784" s="18">
        <v>9793032</v>
      </c>
      <c r="L784" s="18" t="s">
        <v>1092</v>
      </c>
      <c r="M784" s="18" t="s">
        <v>1092</v>
      </c>
      <c r="N784" s="16" t="s">
        <v>1092</v>
      </c>
      <c r="O784" s="18" t="s">
        <v>1092</v>
      </c>
      <c r="P784" s="18" t="s">
        <v>1092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>
      <c r="A785" s="16">
        <v>46080</v>
      </c>
      <c r="B785" s="16">
        <v>46090</v>
      </c>
      <c r="C785" s="21" t="s">
        <v>2387</v>
      </c>
      <c r="D785" s="16" t="str">
        <f>IFERROR(VLOOKUP(Tabela5[[#This Row],[PREFIXO ]],Tabela4[#All],2,0),"CENTRO DE CUSTO")</f>
        <v>CENTRO DE CUSTO</v>
      </c>
      <c r="E785" s="18" t="s">
        <v>260</v>
      </c>
      <c r="F785" s="21">
        <v>192945</v>
      </c>
      <c r="G785" s="22">
        <v>90</v>
      </c>
      <c r="H785" s="22">
        <v>60</v>
      </c>
      <c r="I785" s="22">
        <f t="shared" si="13"/>
        <v>150</v>
      </c>
      <c r="J785" s="18" t="s">
        <v>1082</v>
      </c>
      <c r="K785" s="18">
        <v>9793144</v>
      </c>
      <c r="L785" s="18">
        <v>880169</v>
      </c>
      <c r="M785" s="18" t="s">
        <v>2388</v>
      </c>
      <c r="N785" s="16" t="s">
        <v>2126</v>
      </c>
      <c r="O785" s="18" t="s">
        <v>2389</v>
      </c>
      <c r="P785" s="18" t="s">
        <v>2326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>
      <c r="A786" s="16">
        <v>46080</v>
      </c>
      <c r="B786" s="16">
        <v>46086</v>
      </c>
      <c r="C786" s="21">
        <v>11521003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1293</v>
      </c>
      <c r="G786" s="22">
        <v>18912.5</v>
      </c>
      <c r="H786" s="22"/>
      <c r="I786" s="22">
        <f t="shared" si="13"/>
        <v>18912.5</v>
      </c>
      <c r="J786" s="18" t="s">
        <v>1196</v>
      </c>
      <c r="K786" s="18">
        <v>9792064</v>
      </c>
      <c r="L786" s="18">
        <v>879701</v>
      </c>
      <c r="M786" s="18" t="s">
        <v>2390</v>
      </c>
      <c r="N786" s="16" t="s">
        <v>1591</v>
      </c>
      <c r="O786" s="18" t="s">
        <v>1531</v>
      </c>
      <c r="P786" s="18" t="s">
        <v>2126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>
      <c r="A787" s="16">
        <v>46080</v>
      </c>
      <c r="B787" s="16">
        <v>46086</v>
      </c>
      <c r="C787" s="21">
        <v>11521006</v>
      </c>
      <c r="D787" s="16" t="str">
        <f>IFERROR(VLOOKUP(Tabela5[[#This Row],[PREFIXO ]],Tabela4[#All],2,0),"CENTRO DE CUSTO")</f>
        <v>TRAT PN EXT PES CASE STEIGER 620</v>
      </c>
      <c r="E787" s="18" t="s">
        <v>312</v>
      </c>
      <c r="F787" s="21" t="s">
        <v>1301</v>
      </c>
      <c r="G787" s="22">
        <v>18912.5</v>
      </c>
      <c r="H787" s="22"/>
      <c r="I787" s="22">
        <f t="shared" si="13"/>
        <v>18912.5</v>
      </c>
      <c r="J787" s="18" t="s">
        <v>1196</v>
      </c>
      <c r="K787" s="18">
        <v>9792065</v>
      </c>
      <c r="L787" s="18">
        <v>879701</v>
      </c>
      <c r="M787" s="18" t="s">
        <v>2390</v>
      </c>
      <c r="N787" s="16" t="s">
        <v>1591</v>
      </c>
      <c r="O787" s="18" t="s">
        <v>1531</v>
      </c>
      <c r="P787" s="18" t="s">
        <v>2126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>
      <c r="A788" s="16">
        <v>46080</v>
      </c>
      <c r="B788" s="16">
        <v>46090</v>
      </c>
      <c r="C788" s="21">
        <v>500580090</v>
      </c>
      <c r="D788" s="16" t="str">
        <f>IFERROR(VLOOKUP(Tabela5[[#This Row],[PREFIXO ]],Tabela4[#All],2,0),"CENTRO DE CUSTO")</f>
        <v>Plantadeiras</v>
      </c>
      <c r="E788" s="18" t="s">
        <v>312</v>
      </c>
      <c r="F788" s="21" t="s">
        <v>1300</v>
      </c>
      <c r="G788" s="22">
        <v>15941</v>
      </c>
      <c r="H788" s="22"/>
      <c r="I788" s="22">
        <f t="shared" si="13"/>
        <v>15941</v>
      </c>
      <c r="J788" s="18" t="s">
        <v>1196</v>
      </c>
      <c r="K788" s="18">
        <v>5019793</v>
      </c>
      <c r="L788" s="18">
        <v>880142</v>
      </c>
      <c r="M788" s="18" t="s">
        <v>2391</v>
      </c>
      <c r="N788" s="16" t="s">
        <v>1591</v>
      </c>
      <c r="O788" s="18" t="s">
        <v>1116</v>
      </c>
      <c r="P788" s="18" t="s">
        <v>2126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>
      <c r="A789" s="16">
        <v>46080</v>
      </c>
      <c r="B789" s="16">
        <v>46086</v>
      </c>
      <c r="C789" s="21">
        <v>11521037</v>
      </c>
      <c r="D789" s="16" t="str">
        <f>IFERROR(VLOOKUP(Tabela5[[#This Row],[PREFIXO ]],Tabela4[#All],2,0),"CENTRO DE CUSTO")</f>
        <v>TRAT PN EXT PES N.HOLLAND T9.600</v>
      </c>
      <c r="E789" s="18" t="s">
        <v>312</v>
      </c>
      <c r="F789" s="21" t="s">
        <v>1299</v>
      </c>
      <c r="G789" s="22">
        <v>1498.15</v>
      </c>
      <c r="H789" s="22"/>
      <c r="I789" s="22">
        <f t="shared" si="13"/>
        <v>1498.15</v>
      </c>
      <c r="J789" s="18" t="s">
        <v>1196</v>
      </c>
      <c r="K789" s="18">
        <v>9792061</v>
      </c>
      <c r="L789" s="18">
        <v>879701</v>
      </c>
      <c r="M789" s="18" t="s">
        <v>2390</v>
      </c>
      <c r="N789" s="16" t="s">
        <v>1591</v>
      </c>
      <c r="O789" s="18" t="s">
        <v>1531</v>
      </c>
      <c r="P789" s="18" t="s">
        <v>2126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>
      <c r="A790" s="16">
        <v>46080</v>
      </c>
      <c r="B790" s="16">
        <v>46086</v>
      </c>
      <c r="C790" s="21">
        <v>11521002</v>
      </c>
      <c r="D790" s="16" t="str">
        <f>IFERROR(VLOOKUP(Tabela5[[#This Row],[PREFIXO ]],Tabela4[#All],2,0),"CENTRO DE CUSTO")</f>
        <v>TRAT PN EXT PES CASE STEIGER 620</v>
      </c>
      <c r="E790" s="18" t="s">
        <v>312</v>
      </c>
      <c r="F790" s="21" t="s">
        <v>1255</v>
      </c>
      <c r="G790" s="22">
        <v>1281.55</v>
      </c>
      <c r="H790" s="22"/>
      <c r="I790" s="22">
        <f t="shared" si="13"/>
        <v>1281.55</v>
      </c>
      <c r="J790" s="18" t="s">
        <v>1196</v>
      </c>
      <c r="K790" s="18">
        <v>9792060</v>
      </c>
      <c r="L790" s="18">
        <v>879701</v>
      </c>
      <c r="M790" s="18" t="s">
        <v>2390</v>
      </c>
      <c r="N790" s="16" t="s">
        <v>1591</v>
      </c>
      <c r="O790" s="18" t="s">
        <v>1531</v>
      </c>
      <c r="P790" s="18" t="s">
        <v>2126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>
      <c r="A791" s="16">
        <v>46080</v>
      </c>
      <c r="B791" s="16">
        <v>46086</v>
      </c>
      <c r="C791" s="21">
        <v>1173061</v>
      </c>
      <c r="D791" s="16" t="str">
        <f>IFERROR(VLOOKUP(Tabela5[[#This Row],[PREFIXO ]],Tabela4[#All],2,0),"CENTRO DE CUSTO")</f>
        <v>TRAT PN MED M FERGUSON MF 297</v>
      </c>
      <c r="E791" s="18" t="s">
        <v>312</v>
      </c>
      <c r="F791" s="21" t="s">
        <v>1102</v>
      </c>
      <c r="G791" s="22">
        <v>882</v>
      </c>
      <c r="H791" s="22"/>
      <c r="I791" s="22">
        <f t="shared" si="13"/>
        <v>882</v>
      </c>
      <c r="J791" s="18" t="s">
        <v>1196</v>
      </c>
      <c r="K791" s="18">
        <v>9792062</v>
      </c>
      <c r="L791" s="18">
        <v>879701</v>
      </c>
      <c r="M791" s="18" t="s">
        <v>2390</v>
      </c>
      <c r="N791" s="16" t="s">
        <v>1591</v>
      </c>
      <c r="O791" s="18" t="s">
        <v>1531</v>
      </c>
      <c r="P791" s="18" t="s">
        <v>2126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1248</v>
      </c>
      <c r="K792" s="18">
        <v>5019828</v>
      </c>
      <c r="L792" s="18">
        <v>882077</v>
      </c>
      <c r="M792" s="18" t="s">
        <v>2392</v>
      </c>
      <c r="N792" s="16" t="s">
        <v>2197</v>
      </c>
      <c r="O792" s="18" t="s">
        <v>1769</v>
      </c>
      <c r="P792" s="18" t="s">
        <v>2197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1110</v>
      </c>
      <c r="K793" s="18">
        <v>9802237</v>
      </c>
      <c r="L793" s="18">
        <v>881778</v>
      </c>
      <c r="M793" s="18" t="s">
        <v>2393</v>
      </c>
      <c r="N793" s="16" t="s">
        <v>2198</v>
      </c>
      <c r="O793" s="18" t="s">
        <v>2394</v>
      </c>
      <c r="P793" s="18" t="s">
        <v>2395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1262</v>
      </c>
      <c r="K794" s="18">
        <v>9792735</v>
      </c>
      <c r="L794" s="18">
        <v>880343</v>
      </c>
      <c r="M794" s="18" t="s">
        <v>2396</v>
      </c>
      <c r="N794" s="16" t="s">
        <v>2126</v>
      </c>
      <c r="O794" s="18" t="s">
        <v>2397</v>
      </c>
      <c r="P794" s="18" t="s">
        <v>2261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1110</v>
      </c>
      <c r="K795" s="18">
        <v>9797300</v>
      </c>
      <c r="L795" s="18">
        <v>883840</v>
      </c>
      <c r="M795" s="18" t="s">
        <v>2398</v>
      </c>
      <c r="N795" s="16" t="s">
        <v>1688</v>
      </c>
      <c r="O795" s="18" t="s">
        <v>2399</v>
      </c>
      <c r="P795" s="18" t="s">
        <v>2400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1110</v>
      </c>
      <c r="K796" s="18">
        <v>9802235</v>
      </c>
      <c r="L796" s="18" t="s">
        <v>1092</v>
      </c>
      <c r="M796" s="18" t="s">
        <v>1092</v>
      </c>
      <c r="N796" s="16" t="s">
        <v>1092</v>
      </c>
      <c r="O796" s="18" t="s">
        <v>1092</v>
      </c>
      <c r="P796" s="18" t="s">
        <v>1092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1262</v>
      </c>
      <c r="K797" s="18">
        <v>9797682</v>
      </c>
      <c r="L797" s="18" t="s">
        <v>2401</v>
      </c>
      <c r="M797" s="18" t="s">
        <v>1092</v>
      </c>
      <c r="N797" s="16" t="s">
        <v>1092</v>
      </c>
      <c r="O797" s="18" t="s">
        <v>1092</v>
      </c>
      <c r="P797" s="18" t="s">
        <v>1092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1110</v>
      </c>
      <c r="K798" s="18"/>
      <c r="L798" s="18" t="s">
        <v>1092</v>
      </c>
      <c r="M798" s="18" t="s">
        <v>1092</v>
      </c>
      <c r="N798" s="16" t="s">
        <v>1092</v>
      </c>
      <c r="O798" s="18" t="s">
        <v>1092</v>
      </c>
      <c r="P798" s="18" t="s">
        <v>1092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1262</v>
      </c>
      <c r="K799" s="18">
        <v>9797683</v>
      </c>
      <c r="L799" s="18">
        <v>881750</v>
      </c>
      <c r="M799" s="18" t="s">
        <v>2402</v>
      </c>
      <c r="N799" s="16" t="s">
        <v>1688</v>
      </c>
      <c r="O799" s="18" t="s">
        <v>2403</v>
      </c>
      <c r="P799" s="18" t="s">
        <v>2297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1110</v>
      </c>
      <c r="K800" s="18">
        <v>9797236</v>
      </c>
      <c r="L800" s="18">
        <v>883840</v>
      </c>
      <c r="M800" s="18" t="s">
        <v>2398</v>
      </c>
      <c r="N800" s="16" t="s">
        <v>1688</v>
      </c>
      <c r="O800" s="18" t="s">
        <v>2399</v>
      </c>
      <c r="P800" s="18" t="s">
        <v>2400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1262</v>
      </c>
      <c r="K801" s="18">
        <v>9797683</v>
      </c>
      <c r="L801" s="18">
        <v>881750</v>
      </c>
      <c r="M801" s="18" t="s">
        <v>2404</v>
      </c>
      <c r="N801" s="16" t="s">
        <v>1688</v>
      </c>
      <c r="O801" s="18" t="s">
        <v>2405</v>
      </c>
      <c r="P801" s="18" t="s">
        <v>1868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1262</v>
      </c>
      <c r="K802" s="18">
        <v>9792733</v>
      </c>
      <c r="L802" s="18">
        <v>880343</v>
      </c>
      <c r="M802" s="18" t="s">
        <v>2396</v>
      </c>
      <c r="N802" s="16" t="s">
        <v>2126</v>
      </c>
      <c r="O802" s="18" t="s">
        <v>2397</v>
      </c>
      <c r="P802" s="18" t="s">
        <v>2261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1082</v>
      </c>
      <c r="K803" s="18">
        <v>9797692</v>
      </c>
      <c r="L803" s="18">
        <v>881764</v>
      </c>
      <c r="M803" s="18" t="s">
        <v>2406</v>
      </c>
      <c r="N803" s="16" t="s">
        <v>2198</v>
      </c>
      <c r="O803" s="18" t="s">
        <v>2407</v>
      </c>
      <c r="P803" s="18" t="s">
        <v>2004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1082</v>
      </c>
      <c r="K804" s="18">
        <v>9797692</v>
      </c>
      <c r="L804" s="18">
        <v>881764</v>
      </c>
      <c r="M804" s="18" t="s">
        <v>2408</v>
      </c>
      <c r="N804" s="16" t="s">
        <v>2198</v>
      </c>
      <c r="O804" s="18" t="s">
        <v>2409</v>
      </c>
      <c r="P804" s="18" t="s">
        <v>2004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1262</v>
      </c>
      <c r="K805" s="18">
        <v>5019789</v>
      </c>
      <c r="L805" s="18">
        <v>880355</v>
      </c>
      <c r="M805" s="18" t="s">
        <v>2410</v>
      </c>
      <c r="N805" s="16" t="s">
        <v>2126</v>
      </c>
      <c r="O805" s="18" t="s">
        <v>1255</v>
      </c>
      <c r="P805" s="18" t="s">
        <v>2126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1196</v>
      </c>
      <c r="K806" s="18">
        <v>9798475</v>
      </c>
      <c r="L806" s="18">
        <v>882018</v>
      </c>
      <c r="M806" s="18" t="s">
        <v>2411</v>
      </c>
      <c r="N806" s="16" t="s">
        <v>2265</v>
      </c>
      <c r="O806" s="18" t="s">
        <v>2412</v>
      </c>
      <c r="P806" s="18" t="s">
        <v>1868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>
      <c r="A807" s="16">
        <v>46086</v>
      </c>
      <c r="B807" s="16">
        <v>46091</v>
      </c>
      <c r="C807" s="21" t="s">
        <v>2413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1196</v>
      </c>
      <c r="K807" s="18" t="s">
        <v>2414</v>
      </c>
      <c r="L807" s="18">
        <v>882390</v>
      </c>
      <c r="M807" s="18" t="s">
        <v>2415</v>
      </c>
      <c r="N807" s="16" t="s">
        <v>2197</v>
      </c>
      <c r="O807" s="18" t="s">
        <v>2416</v>
      </c>
      <c r="P807" s="18" t="s">
        <v>1868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>
      <c r="A808" s="16">
        <v>46086</v>
      </c>
      <c r="B808" s="16">
        <v>46090</v>
      </c>
      <c r="C808" s="21" t="s">
        <v>2417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1262</v>
      </c>
      <c r="K808" s="18" t="s">
        <v>2418</v>
      </c>
      <c r="L808" s="18">
        <v>880161</v>
      </c>
      <c r="M808" s="18" t="s">
        <v>2419</v>
      </c>
      <c r="N808" s="16" t="s">
        <v>1591</v>
      </c>
      <c r="O808" s="18" t="s">
        <v>2420</v>
      </c>
      <c r="P808" s="18" t="s">
        <v>2126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1196</v>
      </c>
      <c r="K809" s="18">
        <v>9795897</v>
      </c>
      <c r="L809" s="18">
        <v>882444</v>
      </c>
      <c r="M809" s="18" t="s">
        <v>2421</v>
      </c>
      <c r="N809" s="16" t="s">
        <v>2091</v>
      </c>
      <c r="O809" s="18" t="s">
        <v>2422</v>
      </c>
      <c r="P809" s="18" t="s">
        <v>2198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1262</v>
      </c>
      <c r="K810" s="18">
        <v>9806737</v>
      </c>
      <c r="L810" s="18">
        <v>881743</v>
      </c>
      <c r="M810" s="18" t="s">
        <v>2423</v>
      </c>
      <c r="N810" s="16" t="s">
        <v>2297</v>
      </c>
      <c r="O810" s="18" t="s">
        <v>2424</v>
      </c>
      <c r="P810" s="18" t="s">
        <v>2299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1262</v>
      </c>
      <c r="K811" s="18">
        <v>9806725</v>
      </c>
      <c r="L811" s="18">
        <v>881747</v>
      </c>
      <c r="M811" s="18" t="s">
        <v>2425</v>
      </c>
      <c r="N811" s="16" t="s">
        <v>2297</v>
      </c>
      <c r="O811" s="18" t="s">
        <v>1092</v>
      </c>
      <c r="P811" s="18" t="s">
        <v>1092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1196</v>
      </c>
      <c r="K812" s="18">
        <v>9806723</v>
      </c>
      <c r="L812" s="18">
        <v>881826</v>
      </c>
      <c r="M812" s="18" t="s">
        <v>2426</v>
      </c>
      <c r="N812" s="16" t="s">
        <v>2297</v>
      </c>
      <c r="O812" s="18" t="s">
        <v>2427</v>
      </c>
      <c r="P812" s="18" t="s">
        <v>2299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1262</v>
      </c>
      <c r="K813" s="18">
        <v>9806725</v>
      </c>
      <c r="L813" s="18">
        <v>881747</v>
      </c>
      <c r="M813" s="18" t="s">
        <v>2428</v>
      </c>
      <c r="N813" s="16" t="s">
        <v>2297</v>
      </c>
      <c r="O813" s="18" t="s">
        <v>1927</v>
      </c>
      <c r="P813" s="18" t="s">
        <v>2302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1262</v>
      </c>
      <c r="K814" s="18">
        <v>9806737</v>
      </c>
      <c r="L814" s="18">
        <v>881743</v>
      </c>
      <c r="M814" s="18" t="s">
        <v>2429</v>
      </c>
      <c r="N814" s="16" t="s">
        <v>2297</v>
      </c>
      <c r="O814" s="18" t="s">
        <v>2430</v>
      </c>
      <c r="P814" s="18" t="s">
        <v>2302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1196</v>
      </c>
      <c r="K815" s="18">
        <v>9806723</v>
      </c>
      <c r="L815" s="18">
        <v>881826</v>
      </c>
      <c r="M815" s="18" t="s">
        <v>2431</v>
      </c>
      <c r="N815" s="16" t="s">
        <v>2297</v>
      </c>
      <c r="O815" s="18" t="s">
        <v>2432</v>
      </c>
      <c r="P815" s="18" t="s">
        <v>2302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1196</v>
      </c>
      <c r="K816" s="18">
        <v>9806610</v>
      </c>
      <c r="L816" s="18">
        <v>881834</v>
      </c>
      <c r="M816" s="18" t="s">
        <v>2433</v>
      </c>
      <c r="N816" s="16" t="s">
        <v>2297</v>
      </c>
      <c r="O816" s="18" t="s">
        <v>2434</v>
      </c>
      <c r="P816" s="18" t="s">
        <v>2302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1196</v>
      </c>
      <c r="K817" s="18">
        <v>9806610</v>
      </c>
      <c r="L817" s="18">
        <v>881834</v>
      </c>
      <c r="M817" s="18" t="s">
        <v>2435</v>
      </c>
      <c r="N817" s="16" t="s">
        <v>2297</v>
      </c>
      <c r="O817" s="18" t="s">
        <v>2436</v>
      </c>
      <c r="P817" s="18" t="s">
        <v>2299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1196</v>
      </c>
      <c r="K818" s="18">
        <v>9792830</v>
      </c>
      <c r="L818" s="18">
        <v>880393</v>
      </c>
      <c r="M818" s="18" t="s">
        <v>2437</v>
      </c>
      <c r="N818" s="16" t="s">
        <v>2126</v>
      </c>
      <c r="O818" s="18" t="s">
        <v>2438</v>
      </c>
      <c r="P818" s="18" t="s">
        <v>2439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1196</v>
      </c>
      <c r="K819" s="18">
        <v>9797684</v>
      </c>
      <c r="L819" s="18">
        <v>881752</v>
      </c>
      <c r="M819" s="18" t="s">
        <v>2440</v>
      </c>
      <c r="N819" s="16" t="s">
        <v>2265</v>
      </c>
      <c r="O819" s="18" t="s">
        <v>2441</v>
      </c>
      <c r="P819" s="18" t="s">
        <v>2254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1196</v>
      </c>
      <c r="K820" s="18">
        <v>9792736</v>
      </c>
      <c r="L820" s="18">
        <v>880393</v>
      </c>
      <c r="M820" s="18" t="s">
        <v>2437</v>
      </c>
      <c r="N820" s="16" t="s">
        <v>2126</v>
      </c>
      <c r="O820" s="18" t="s">
        <v>2438</v>
      </c>
      <c r="P820" s="18" t="s">
        <v>2439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1196</v>
      </c>
      <c r="K821" s="18">
        <v>9792831</v>
      </c>
      <c r="L821" s="18">
        <v>880393</v>
      </c>
      <c r="M821" s="18" t="s">
        <v>2437</v>
      </c>
      <c r="N821" s="16" t="s">
        <v>2126</v>
      </c>
      <c r="O821" s="18" t="s">
        <v>2438</v>
      </c>
      <c r="P821" s="18" t="s">
        <v>2439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1196</v>
      </c>
      <c r="K822" s="18">
        <v>9792737</v>
      </c>
      <c r="L822" s="18">
        <v>880393</v>
      </c>
      <c r="M822" s="18" t="s">
        <v>2437</v>
      </c>
      <c r="N822" s="16" t="s">
        <v>2126</v>
      </c>
      <c r="O822" s="18" t="s">
        <v>2438</v>
      </c>
      <c r="P822" s="18" t="s">
        <v>2439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1110</v>
      </c>
      <c r="K823" s="18">
        <v>9795999</v>
      </c>
      <c r="L823" s="18">
        <v>882878</v>
      </c>
      <c r="M823" s="18" t="s">
        <v>2442</v>
      </c>
      <c r="N823" s="16" t="s">
        <v>2197</v>
      </c>
      <c r="O823" s="18" t="s">
        <v>2443</v>
      </c>
      <c r="P823" s="18" t="s">
        <v>2444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1110</v>
      </c>
      <c r="K824" s="18">
        <v>9792835</v>
      </c>
      <c r="L824" s="18">
        <v>880386</v>
      </c>
      <c r="M824" s="18" t="s">
        <v>2445</v>
      </c>
      <c r="N824" s="16" t="s">
        <v>2126</v>
      </c>
      <c r="O824" s="18" t="s">
        <v>2446</v>
      </c>
      <c r="P824" s="18" t="s">
        <v>2447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1110</v>
      </c>
      <c r="K825" s="18">
        <v>9796221</v>
      </c>
      <c r="L825" s="18">
        <v>882936</v>
      </c>
      <c r="M825" s="18" t="s">
        <v>2448</v>
      </c>
      <c r="N825" s="16" t="s">
        <v>2197</v>
      </c>
      <c r="O825" s="18" t="s">
        <v>2449</v>
      </c>
      <c r="P825" s="18" t="s">
        <v>2450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>
      <c r="A826" s="16">
        <v>46086</v>
      </c>
      <c r="B826" s="16">
        <v>46091</v>
      </c>
      <c r="C826" s="21" t="s">
        <v>2451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1110</v>
      </c>
      <c r="K826" s="18" t="s">
        <v>2452</v>
      </c>
      <c r="L826" s="18">
        <v>882467</v>
      </c>
      <c r="M826" s="18" t="s">
        <v>2453</v>
      </c>
      <c r="N826" s="16" t="s">
        <v>2197</v>
      </c>
      <c r="O826" s="18" t="s">
        <v>2454</v>
      </c>
      <c r="P826" s="18" t="s">
        <v>1868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1110</v>
      </c>
      <c r="K827" s="18">
        <v>9792837</v>
      </c>
      <c r="L827" s="18">
        <v>880386</v>
      </c>
      <c r="M827" s="18" t="s">
        <v>2445</v>
      </c>
      <c r="N827" s="16" t="s">
        <v>2126</v>
      </c>
      <c r="O827" s="18" t="s">
        <v>2446</v>
      </c>
      <c r="P827" s="18" t="s">
        <v>2447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1110</v>
      </c>
      <c r="K828" s="18">
        <v>9792839</v>
      </c>
      <c r="L828" s="18">
        <v>880386</v>
      </c>
      <c r="M828" s="18" t="s">
        <v>2445</v>
      </c>
      <c r="N828" s="16" t="s">
        <v>2126</v>
      </c>
      <c r="O828" s="18" t="s">
        <v>2446</v>
      </c>
      <c r="P828" s="18" t="s">
        <v>2447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1262</v>
      </c>
      <c r="K829" s="18">
        <v>9798470</v>
      </c>
      <c r="L829" s="18">
        <v>881815</v>
      </c>
      <c r="M829" s="18" t="s">
        <v>2455</v>
      </c>
      <c r="N829" s="16" t="s">
        <v>2265</v>
      </c>
      <c r="O829" s="18" t="s">
        <v>2456</v>
      </c>
      <c r="P829" s="18" t="s">
        <v>2254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1262</v>
      </c>
      <c r="K830" s="18">
        <v>798471</v>
      </c>
      <c r="L830" s="18">
        <v>881819</v>
      </c>
      <c r="M830" s="18" t="s">
        <v>2457</v>
      </c>
      <c r="N830" s="16" t="s">
        <v>2265</v>
      </c>
      <c r="O830" s="18" t="s">
        <v>2458</v>
      </c>
      <c r="P830" s="18" t="s">
        <v>2254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2172</v>
      </c>
      <c r="G831" s="22">
        <v>8910</v>
      </c>
      <c r="H831" s="22"/>
      <c r="I831" s="22">
        <f t="shared" si="13"/>
        <v>8910</v>
      </c>
      <c r="J831" s="18" t="s">
        <v>1110</v>
      </c>
      <c r="K831" s="18">
        <v>5019829</v>
      </c>
      <c r="L831" s="18">
        <v>882331</v>
      </c>
      <c r="M831" s="18" t="s">
        <v>2459</v>
      </c>
      <c r="N831" s="16" t="s">
        <v>2197</v>
      </c>
      <c r="O831" s="18" t="s">
        <v>2460</v>
      </c>
      <c r="P831" s="18" t="s">
        <v>2197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1131</v>
      </c>
      <c r="G832" s="22">
        <v>15550</v>
      </c>
      <c r="H832" s="22"/>
      <c r="I832" s="22">
        <f t="shared" ref="I832:I895" si="14">G832+H832</f>
        <v>15550</v>
      </c>
      <c r="J832" s="18" t="s">
        <v>2461</v>
      </c>
      <c r="K832" s="18">
        <v>9792834</v>
      </c>
      <c r="L832" s="18">
        <v>882967</v>
      </c>
      <c r="M832" s="18" t="s">
        <v>2462</v>
      </c>
      <c r="N832" s="16" t="s">
        <v>1688</v>
      </c>
      <c r="O832" s="18" t="s">
        <v>2172</v>
      </c>
      <c r="P832" s="18" t="s">
        <v>2004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1262</v>
      </c>
      <c r="K833" s="18">
        <v>9798465</v>
      </c>
      <c r="L833" s="18">
        <v>881795</v>
      </c>
      <c r="M833" s="18" t="s">
        <v>2463</v>
      </c>
      <c r="N833" s="16" t="s">
        <v>2265</v>
      </c>
      <c r="O833" s="18" t="s">
        <v>2464</v>
      </c>
      <c r="P833" s="18" t="s">
        <v>2465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1262</v>
      </c>
      <c r="K834" s="18">
        <v>9798468</v>
      </c>
      <c r="L834" s="18">
        <v>881806</v>
      </c>
      <c r="M834" s="18" t="s">
        <v>2466</v>
      </c>
      <c r="N834" s="16" t="s">
        <v>1688</v>
      </c>
      <c r="O834" s="18" t="s">
        <v>2467</v>
      </c>
      <c r="P834" s="18" t="s">
        <v>2465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1196</v>
      </c>
      <c r="K835" s="18">
        <v>9797688</v>
      </c>
      <c r="L835" s="18">
        <v>881762</v>
      </c>
      <c r="M835" s="18" t="s">
        <v>2468</v>
      </c>
      <c r="N835" s="16" t="s">
        <v>2265</v>
      </c>
      <c r="O835" s="18" t="s">
        <v>2469</v>
      </c>
      <c r="P835" s="18" t="s">
        <v>2470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1196</v>
      </c>
      <c r="K836" s="18">
        <v>9792881</v>
      </c>
      <c r="L836" s="18">
        <v>880331</v>
      </c>
      <c r="M836" s="18" t="s">
        <v>2471</v>
      </c>
      <c r="N836" s="16" t="s">
        <v>2126</v>
      </c>
      <c r="O836" s="18" t="s">
        <v>2472</v>
      </c>
      <c r="P836" s="18" t="s">
        <v>2126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1196</v>
      </c>
      <c r="K837" s="18">
        <v>9792882</v>
      </c>
      <c r="L837" s="18">
        <v>880331</v>
      </c>
      <c r="M837" s="18" t="s">
        <v>2471</v>
      </c>
      <c r="N837" s="16" t="s">
        <v>2126</v>
      </c>
      <c r="O837" s="18" t="s">
        <v>2472</v>
      </c>
      <c r="P837" s="18" t="s">
        <v>2126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1248</v>
      </c>
      <c r="K838" s="18">
        <v>5019785</v>
      </c>
      <c r="L838" s="18" t="s">
        <v>1092</v>
      </c>
      <c r="M838" s="18" t="s">
        <v>1092</v>
      </c>
      <c r="N838" s="16" t="s">
        <v>1092</v>
      </c>
      <c r="O838" s="18" t="s">
        <v>1092</v>
      </c>
      <c r="P838" s="18" t="s">
        <v>1092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1082</v>
      </c>
      <c r="K839" s="18">
        <v>9792884</v>
      </c>
      <c r="L839" s="18" t="s">
        <v>1092</v>
      </c>
      <c r="M839" s="18" t="s">
        <v>1092</v>
      </c>
      <c r="N839" s="16" t="s">
        <v>1092</v>
      </c>
      <c r="O839" s="18" t="s">
        <v>1092</v>
      </c>
      <c r="P839" s="18" t="s">
        <v>1092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1082</v>
      </c>
      <c r="K840" s="18">
        <v>9792883</v>
      </c>
      <c r="L840" s="18">
        <v>880381</v>
      </c>
      <c r="M840" s="18" t="s">
        <v>2473</v>
      </c>
      <c r="N840" s="16" t="s">
        <v>2126</v>
      </c>
      <c r="O840" s="18" t="s">
        <v>2474</v>
      </c>
      <c r="P840" s="18" t="s">
        <v>2197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1196</v>
      </c>
      <c r="K841" s="18">
        <v>9797686</v>
      </c>
      <c r="L841" s="18">
        <v>881758</v>
      </c>
      <c r="M841" s="18" t="s">
        <v>2475</v>
      </c>
      <c r="N841" s="16" t="s">
        <v>1688</v>
      </c>
      <c r="O841" s="18" t="s">
        <v>1092</v>
      </c>
      <c r="P841" s="18" t="s">
        <v>1092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1110</v>
      </c>
      <c r="K842" s="18">
        <v>9797596</v>
      </c>
      <c r="L842" s="18">
        <v>882031</v>
      </c>
      <c r="M842" s="18" t="s">
        <v>2476</v>
      </c>
      <c r="N842" s="16" t="s">
        <v>1688</v>
      </c>
      <c r="O842" s="18" t="s">
        <v>2477</v>
      </c>
      <c r="P842" s="18" t="s">
        <v>2275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>
      <c r="A843" s="16">
        <v>46086</v>
      </c>
      <c r="B843" s="16">
        <v>46090</v>
      </c>
      <c r="C843" s="21" t="s">
        <v>1131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1110</v>
      </c>
      <c r="K843" s="18" t="s">
        <v>1092</v>
      </c>
      <c r="L843" s="18" t="s">
        <v>1092</v>
      </c>
      <c r="M843" s="18" t="s">
        <v>1092</v>
      </c>
      <c r="N843" s="16" t="s">
        <v>1092</v>
      </c>
      <c r="O843" s="18" t="s">
        <v>1092</v>
      </c>
      <c r="P843" s="18" t="s">
        <v>1092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1131</v>
      </c>
      <c r="G844" s="22">
        <v>180</v>
      </c>
      <c r="H844" s="22"/>
      <c r="I844" s="22">
        <f t="shared" si="14"/>
        <v>180</v>
      </c>
      <c r="J844" s="18" t="s">
        <v>1196</v>
      </c>
      <c r="K844" s="18">
        <v>5019830</v>
      </c>
      <c r="L844" s="18" t="s">
        <v>1092</v>
      </c>
      <c r="M844" s="18" t="s">
        <v>1092</v>
      </c>
      <c r="N844" s="16" t="s">
        <v>1092</v>
      </c>
      <c r="O844" s="18" t="s">
        <v>1092</v>
      </c>
      <c r="P844" s="18" t="s">
        <v>1092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>
      <c r="A845" s="16">
        <v>46086</v>
      </c>
      <c r="B845" s="16">
        <v>46092</v>
      </c>
      <c r="C845" s="21" t="s">
        <v>2478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1196</v>
      </c>
      <c r="K845" s="18" t="s">
        <v>1131</v>
      </c>
      <c r="L845" s="18" t="s">
        <v>1131</v>
      </c>
      <c r="M845" s="18" t="s">
        <v>1092</v>
      </c>
      <c r="N845" s="16" t="s">
        <v>1092</v>
      </c>
      <c r="O845" s="18" t="s">
        <v>1092</v>
      </c>
      <c r="P845" s="18" t="s">
        <v>1092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>
      <c r="A846" s="16">
        <v>46086</v>
      </c>
      <c r="B846" s="16">
        <v>46091</v>
      </c>
      <c r="C846" s="21" t="s">
        <v>2479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1196</v>
      </c>
      <c r="K846" s="18" t="s">
        <v>1131</v>
      </c>
      <c r="L846" s="18" t="s">
        <v>1131</v>
      </c>
      <c r="M846" s="18" t="s">
        <v>1092</v>
      </c>
      <c r="N846" s="16" t="s">
        <v>1092</v>
      </c>
      <c r="O846" s="18" t="s">
        <v>1092</v>
      </c>
      <c r="P846" s="18" t="s">
        <v>1092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2168</v>
      </c>
      <c r="G847" s="22">
        <v>18912.5</v>
      </c>
      <c r="H847" s="22"/>
      <c r="I847" s="22">
        <f t="shared" si="14"/>
        <v>18912.5</v>
      </c>
      <c r="J847" s="18" t="s">
        <v>1196</v>
      </c>
      <c r="K847" s="18">
        <v>9794955</v>
      </c>
      <c r="L847" s="18">
        <v>881419</v>
      </c>
      <c r="M847" s="18" t="s">
        <v>2480</v>
      </c>
      <c r="N847" s="16" t="s">
        <v>2126</v>
      </c>
      <c r="O847" s="18" t="s">
        <v>2481</v>
      </c>
      <c r="P847" s="18" t="s">
        <v>2091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2162</v>
      </c>
      <c r="G848" s="22">
        <v>18912.5</v>
      </c>
      <c r="H848" s="22"/>
      <c r="I848" s="22">
        <f t="shared" si="14"/>
        <v>18912.5</v>
      </c>
      <c r="J848" s="18" t="s">
        <v>1196</v>
      </c>
      <c r="K848" s="18">
        <v>9794918</v>
      </c>
      <c r="L848" s="18">
        <v>881446</v>
      </c>
      <c r="M848" s="18" t="s">
        <v>2482</v>
      </c>
      <c r="N848" s="16" t="s">
        <v>2091</v>
      </c>
      <c r="O848" s="18" t="s">
        <v>2483</v>
      </c>
      <c r="P848" s="18" t="s">
        <v>2091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1306</v>
      </c>
      <c r="G849" s="22">
        <v>12512.5</v>
      </c>
      <c r="H849" s="22"/>
      <c r="I849" s="22">
        <f t="shared" si="14"/>
        <v>12512.5</v>
      </c>
      <c r="J849" s="18" t="s">
        <v>1196</v>
      </c>
      <c r="K849" s="18">
        <v>9794906</v>
      </c>
      <c r="L849" s="18">
        <v>881342</v>
      </c>
      <c r="M849" s="18" t="s">
        <v>2484</v>
      </c>
      <c r="N849" s="16" t="s">
        <v>2126</v>
      </c>
      <c r="O849" s="18" t="s">
        <v>2485</v>
      </c>
      <c r="P849" s="18" t="s">
        <v>2228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2166</v>
      </c>
      <c r="G850" s="22">
        <v>1464.84</v>
      </c>
      <c r="H850" s="22"/>
      <c r="I850" s="22">
        <f t="shared" si="14"/>
        <v>1464.84</v>
      </c>
      <c r="J850" s="18" t="s">
        <v>1196</v>
      </c>
      <c r="K850" s="18">
        <v>9795843</v>
      </c>
      <c r="L850" s="18">
        <v>882051</v>
      </c>
      <c r="M850" s="18" t="s">
        <v>2486</v>
      </c>
      <c r="N850" s="16" t="s">
        <v>2197</v>
      </c>
      <c r="O850" s="18" t="s">
        <v>1331</v>
      </c>
      <c r="P850" s="18" t="s">
        <v>1688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2172</v>
      </c>
      <c r="G851" s="22">
        <v>1420.67</v>
      </c>
      <c r="H851" s="22"/>
      <c r="I851" s="22">
        <f t="shared" si="14"/>
        <v>1420.67</v>
      </c>
      <c r="J851" s="18" t="s">
        <v>1196</v>
      </c>
      <c r="K851" s="18">
        <v>9795841</v>
      </c>
      <c r="L851" s="18">
        <v>882051</v>
      </c>
      <c r="M851" s="18" t="s">
        <v>2486</v>
      </c>
      <c r="N851" s="16" t="s">
        <v>2197</v>
      </c>
      <c r="O851" s="18" t="s">
        <v>1331</v>
      </c>
      <c r="P851" s="18" t="s">
        <v>1688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1308</v>
      </c>
      <c r="G852" s="22">
        <v>1253.7</v>
      </c>
      <c r="H852" s="22"/>
      <c r="I852" s="22">
        <f t="shared" si="14"/>
        <v>1253.7</v>
      </c>
      <c r="J852" s="18" t="s">
        <v>1196</v>
      </c>
      <c r="K852" s="18">
        <v>9795819</v>
      </c>
      <c r="L852" s="18">
        <v>882051</v>
      </c>
      <c r="M852" s="18" t="s">
        <v>2486</v>
      </c>
      <c r="N852" s="16" t="s">
        <v>2197</v>
      </c>
      <c r="O852" s="18" t="s">
        <v>1331</v>
      </c>
      <c r="P852" s="18" t="s">
        <v>1688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2164</v>
      </c>
      <c r="G853" s="22">
        <v>1239.3900000000001</v>
      </c>
      <c r="H853" s="22"/>
      <c r="I853" s="22">
        <f t="shared" si="14"/>
        <v>1239.3900000000001</v>
      </c>
      <c r="J853" s="18" t="s">
        <v>1196</v>
      </c>
      <c r="K853" s="18">
        <v>9795844</v>
      </c>
      <c r="L853" s="18">
        <v>882051</v>
      </c>
      <c r="M853" s="18" t="s">
        <v>2486</v>
      </c>
      <c r="N853" s="16" t="s">
        <v>2197</v>
      </c>
      <c r="O853" s="18" t="s">
        <v>1331</v>
      </c>
      <c r="P853" s="18" t="s">
        <v>1688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2487</v>
      </c>
      <c r="G854" s="22">
        <v>915</v>
      </c>
      <c r="H854" s="22"/>
      <c r="I854" s="22">
        <f t="shared" si="14"/>
        <v>915</v>
      </c>
      <c r="J854" s="18" t="s">
        <v>1196</v>
      </c>
      <c r="K854" s="18">
        <v>9795842</v>
      </c>
      <c r="L854" s="18">
        <v>882051</v>
      </c>
      <c r="M854" s="18" t="s">
        <v>2486</v>
      </c>
      <c r="N854" s="16" t="s">
        <v>2197</v>
      </c>
      <c r="O854" s="18" t="s">
        <v>1331</v>
      </c>
      <c r="P854" s="18" t="s">
        <v>1688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1196</v>
      </c>
      <c r="K855" s="18">
        <v>9795927</v>
      </c>
      <c r="L855" s="18">
        <v>882597</v>
      </c>
      <c r="M855" s="18" t="s">
        <v>2488</v>
      </c>
      <c r="N855" s="16" t="s">
        <v>2091</v>
      </c>
      <c r="O855" s="18" t="s">
        <v>2489</v>
      </c>
      <c r="P855" s="18" t="s">
        <v>2326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1196</v>
      </c>
      <c r="K856" s="18">
        <v>9795927</v>
      </c>
      <c r="L856" s="18">
        <v>882561</v>
      </c>
      <c r="M856" s="18" t="s">
        <v>2490</v>
      </c>
      <c r="N856" s="16" t="s">
        <v>2091</v>
      </c>
      <c r="O856" s="18" t="s">
        <v>2491</v>
      </c>
      <c r="P856" s="18" t="s">
        <v>2326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1196</v>
      </c>
      <c r="K857" s="18">
        <v>9796102</v>
      </c>
      <c r="L857" s="18">
        <v>882650</v>
      </c>
      <c r="M857" s="18" t="s">
        <v>2492</v>
      </c>
      <c r="N857" s="16" t="s">
        <v>2197</v>
      </c>
      <c r="O857" s="18" t="s">
        <v>2493</v>
      </c>
      <c r="P857" s="18" t="s">
        <v>2261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1552</v>
      </c>
      <c r="G858" s="22">
        <v>3880</v>
      </c>
      <c r="H858" s="22"/>
      <c r="I858" s="22">
        <f t="shared" si="14"/>
        <v>3880</v>
      </c>
      <c r="J858" s="18" t="s">
        <v>1196</v>
      </c>
      <c r="K858" s="18">
        <v>5019833</v>
      </c>
      <c r="L858" s="18">
        <v>882503</v>
      </c>
      <c r="M858" s="18" t="s">
        <v>2494</v>
      </c>
      <c r="N858" s="16" t="s">
        <v>2197</v>
      </c>
      <c r="O858" s="18" t="s">
        <v>1760</v>
      </c>
      <c r="P858" s="18" t="s">
        <v>1868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1077</v>
      </c>
      <c r="K859" s="18">
        <v>9803897</v>
      </c>
      <c r="L859" s="18">
        <v>890857</v>
      </c>
      <c r="M859" s="18" t="s">
        <v>2495</v>
      </c>
      <c r="N859" s="16" t="s">
        <v>2496</v>
      </c>
      <c r="O859" s="18" t="s">
        <v>2497</v>
      </c>
      <c r="P859" s="18" t="s">
        <v>2297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2498</v>
      </c>
      <c r="G860" s="22">
        <v>18900</v>
      </c>
      <c r="H860" s="22"/>
      <c r="I860" s="22">
        <f t="shared" si="14"/>
        <v>18900</v>
      </c>
      <c r="J860" s="18" t="s">
        <v>1248</v>
      </c>
      <c r="K860" s="18">
        <v>9803899</v>
      </c>
      <c r="L860" s="18">
        <v>891061</v>
      </c>
      <c r="M860" s="18" t="s">
        <v>2499</v>
      </c>
      <c r="N860" s="16" t="s">
        <v>2496</v>
      </c>
      <c r="O860" s="18" t="s">
        <v>2500</v>
      </c>
      <c r="P860" s="18" t="s">
        <v>2501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2502</v>
      </c>
      <c r="G861" s="22">
        <v>11000</v>
      </c>
      <c r="H861" s="22"/>
      <c r="I861" s="22">
        <f t="shared" si="14"/>
        <v>11000</v>
      </c>
      <c r="J861" s="18" t="s">
        <v>1248</v>
      </c>
      <c r="K861" s="18">
        <v>9803920</v>
      </c>
      <c r="L861" s="18">
        <v>891061</v>
      </c>
      <c r="M861" s="18" t="s">
        <v>2499</v>
      </c>
      <c r="N861" s="16" t="s">
        <v>2496</v>
      </c>
      <c r="O861" s="18" t="s">
        <v>2500</v>
      </c>
      <c r="P861" s="18" t="s">
        <v>2501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1196</v>
      </c>
      <c r="K862" s="18">
        <v>9802461</v>
      </c>
      <c r="L862" s="18">
        <v>889052</v>
      </c>
      <c r="M862" s="18" t="s">
        <v>2503</v>
      </c>
      <c r="N862" s="16" t="s">
        <v>2198</v>
      </c>
      <c r="O862" s="18" t="s">
        <v>2504</v>
      </c>
      <c r="P862" s="18" t="s">
        <v>2505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1196</v>
      </c>
      <c r="K863" s="18">
        <v>9802462</v>
      </c>
      <c r="L863" s="18">
        <v>889306</v>
      </c>
      <c r="M863" s="18" t="s">
        <v>2506</v>
      </c>
      <c r="N863" s="16" t="s">
        <v>2198</v>
      </c>
      <c r="O863" s="18" t="s">
        <v>2507</v>
      </c>
      <c r="P863" s="18" t="s">
        <v>2505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1196</v>
      </c>
      <c r="K864" s="18">
        <v>9802464</v>
      </c>
      <c r="L864" s="18">
        <v>889328</v>
      </c>
      <c r="M864" s="18" t="s">
        <v>2508</v>
      </c>
      <c r="N864" s="16" t="s">
        <v>2198</v>
      </c>
      <c r="O864" s="18" t="s">
        <v>2509</v>
      </c>
      <c r="P864" s="18" t="s">
        <v>2004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1196</v>
      </c>
      <c r="K865" s="18">
        <v>9807140</v>
      </c>
      <c r="L865" s="18">
        <v>891463</v>
      </c>
      <c r="M865" s="18" t="s">
        <v>2510</v>
      </c>
      <c r="N865" s="16" t="s">
        <v>2297</v>
      </c>
      <c r="O865" s="18" t="s">
        <v>2511</v>
      </c>
      <c r="P865" s="18" t="s">
        <v>1417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1196</v>
      </c>
      <c r="K866" s="18">
        <v>9798990</v>
      </c>
      <c r="L866" s="18">
        <v>886013</v>
      </c>
      <c r="M866" s="18" t="s">
        <v>2512</v>
      </c>
      <c r="N866" s="16" t="s">
        <v>2513</v>
      </c>
      <c r="O866" s="18" t="s">
        <v>2514</v>
      </c>
      <c r="P866" s="18" t="s">
        <v>1870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1196</v>
      </c>
      <c r="K867" s="18">
        <v>9803928</v>
      </c>
      <c r="L867" s="18">
        <v>890932</v>
      </c>
      <c r="M867" s="18" t="s">
        <v>2515</v>
      </c>
      <c r="N867" s="16" t="s">
        <v>2496</v>
      </c>
      <c r="O867" s="18" t="s">
        <v>2516</v>
      </c>
      <c r="P867" s="18" t="s">
        <v>2517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>
      <c r="A868" s="16">
        <v>46094</v>
      </c>
      <c r="B868" s="16">
        <v>46101</v>
      </c>
      <c r="C868" s="21" t="s">
        <v>2518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1196</v>
      </c>
      <c r="K868" s="18">
        <v>9803932</v>
      </c>
      <c r="L868" s="18">
        <v>890945</v>
      </c>
      <c r="M868" s="18" t="s">
        <v>2519</v>
      </c>
      <c r="N868" s="16" t="s">
        <v>2496</v>
      </c>
      <c r="O868" s="18" t="s">
        <v>2520</v>
      </c>
      <c r="P868" s="18" t="s">
        <v>2517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1196</v>
      </c>
      <c r="K869" s="18">
        <v>9798834</v>
      </c>
      <c r="L869" s="18">
        <v>885962</v>
      </c>
      <c r="M869" s="18" t="s">
        <v>2521</v>
      </c>
      <c r="N869" s="16" t="s">
        <v>2265</v>
      </c>
      <c r="O869" s="18" t="s">
        <v>2522</v>
      </c>
      <c r="P869" s="18" t="s">
        <v>2254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1196</v>
      </c>
      <c r="K870" s="18">
        <v>9798980</v>
      </c>
      <c r="L870" s="18">
        <v>886040</v>
      </c>
      <c r="M870" s="18" t="s">
        <v>2523</v>
      </c>
      <c r="N870" s="16" t="s">
        <v>2265</v>
      </c>
      <c r="O870" s="18" t="s">
        <v>2524</v>
      </c>
      <c r="P870" s="18" t="s">
        <v>1870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1196</v>
      </c>
      <c r="K871" s="18">
        <v>9803930</v>
      </c>
      <c r="L871" s="18">
        <v>890937</v>
      </c>
      <c r="M871" s="18" t="s">
        <v>2525</v>
      </c>
      <c r="N871" s="16" t="s">
        <v>2496</v>
      </c>
      <c r="O871" s="18" t="s">
        <v>2526</v>
      </c>
      <c r="P871" s="18" t="s">
        <v>2275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1196</v>
      </c>
      <c r="K872" s="18">
        <v>9798957</v>
      </c>
      <c r="L872" s="18">
        <v>885991</v>
      </c>
      <c r="M872" s="18" t="s">
        <v>2527</v>
      </c>
      <c r="N872" s="16" t="s">
        <v>2265</v>
      </c>
      <c r="O872" s="18" t="s">
        <v>2528</v>
      </c>
      <c r="P872" s="18" t="s">
        <v>2254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1196</v>
      </c>
      <c r="K873" s="18">
        <v>9798984</v>
      </c>
      <c r="L873" s="18">
        <v>886056</v>
      </c>
      <c r="M873" s="18" t="s">
        <v>2529</v>
      </c>
      <c r="N873" s="16" t="s">
        <v>2265</v>
      </c>
      <c r="O873" s="18" t="s">
        <v>2530</v>
      </c>
      <c r="P873" s="18" t="s">
        <v>1870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1196</v>
      </c>
      <c r="K874" s="18">
        <v>9813723</v>
      </c>
      <c r="L874" s="18">
        <v>898765</v>
      </c>
      <c r="M874" s="18" t="s">
        <v>2531</v>
      </c>
      <c r="N874" s="16" t="s">
        <v>2532</v>
      </c>
      <c r="O874" s="18" t="s">
        <v>2533</v>
      </c>
      <c r="P874" s="18" t="s">
        <v>2534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1196</v>
      </c>
      <c r="K875" s="18">
        <v>9813722</v>
      </c>
      <c r="L875" s="18">
        <v>898765</v>
      </c>
      <c r="M875" s="18" t="s">
        <v>2531</v>
      </c>
      <c r="N875" s="16" t="s">
        <v>2532</v>
      </c>
      <c r="O875" s="18" t="s">
        <v>2533</v>
      </c>
      <c r="P875" s="18" t="s">
        <v>2534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>
      <c r="A876" s="16">
        <v>46094</v>
      </c>
      <c r="B876" s="16">
        <v>46099</v>
      </c>
      <c r="C876" s="21" t="s">
        <v>1131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1131</v>
      </c>
      <c r="G876" s="22">
        <v>940</v>
      </c>
      <c r="H876" s="22"/>
      <c r="I876" s="22">
        <f t="shared" si="14"/>
        <v>940</v>
      </c>
      <c r="J876" s="18" t="s">
        <v>1479</v>
      </c>
      <c r="K876" s="18" t="s">
        <v>1131</v>
      </c>
      <c r="L876" s="18" t="s">
        <v>1092</v>
      </c>
      <c r="M876" s="18" t="s">
        <v>1092</v>
      </c>
      <c r="N876" s="16" t="s">
        <v>1092</v>
      </c>
      <c r="O876" s="18" t="s">
        <v>1092</v>
      </c>
      <c r="P876" s="18" t="s">
        <v>1092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1196</v>
      </c>
      <c r="K877" s="18" t="s">
        <v>1131</v>
      </c>
      <c r="L877" s="18" t="s">
        <v>1092</v>
      </c>
      <c r="M877" s="18" t="s">
        <v>1092</v>
      </c>
      <c r="N877" s="16" t="s">
        <v>1092</v>
      </c>
      <c r="O877" s="18" t="s">
        <v>1092</v>
      </c>
      <c r="P877" s="18" t="s">
        <v>1092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1254</v>
      </c>
      <c r="K878" s="18" t="s">
        <v>1131</v>
      </c>
      <c r="L878" s="18" t="s">
        <v>1092</v>
      </c>
      <c r="M878" s="18" t="s">
        <v>1092</v>
      </c>
      <c r="N878" s="16" t="s">
        <v>1092</v>
      </c>
      <c r="O878" s="18" t="s">
        <v>1092</v>
      </c>
      <c r="P878" s="18" t="s">
        <v>1092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1262</v>
      </c>
      <c r="K879" s="18"/>
      <c r="L879" s="18" t="s">
        <v>1092</v>
      </c>
      <c r="M879" s="18" t="s">
        <v>1092</v>
      </c>
      <c r="N879" s="16" t="s">
        <v>1092</v>
      </c>
      <c r="O879" s="18" t="s">
        <v>1092</v>
      </c>
      <c r="P879" s="18" t="s">
        <v>1092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1196</v>
      </c>
      <c r="K880" s="18">
        <v>9838893</v>
      </c>
      <c r="L880" s="18">
        <v>917792</v>
      </c>
      <c r="M880" s="18" t="s">
        <v>2535</v>
      </c>
      <c r="N880" s="16" t="s">
        <v>2536</v>
      </c>
      <c r="O880" s="18" t="s">
        <v>2537</v>
      </c>
      <c r="P880" s="18" t="s">
        <v>2538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1196</v>
      </c>
      <c r="K881" s="18">
        <v>9807146</v>
      </c>
      <c r="L881" s="18">
        <v>893174</v>
      </c>
      <c r="M881" s="18" t="s">
        <v>2539</v>
      </c>
      <c r="N881" s="16" t="s">
        <v>2297</v>
      </c>
      <c r="O881" s="18" t="s">
        <v>2540</v>
      </c>
      <c r="P881" s="18" t="s">
        <v>2299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1196</v>
      </c>
      <c r="K882" s="18">
        <v>9807150</v>
      </c>
      <c r="L882" s="18">
        <v>893194</v>
      </c>
      <c r="M882" s="18" t="s">
        <v>2541</v>
      </c>
      <c r="N882" s="16" t="s">
        <v>2297</v>
      </c>
      <c r="O882" s="18" t="s">
        <v>2542</v>
      </c>
      <c r="P882" s="18" t="s">
        <v>2299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1196</v>
      </c>
      <c r="K883" s="18">
        <v>9807206</v>
      </c>
      <c r="L883" s="18">
        <v>893252</v>
      </c>
      <c r="M883" s="18" t="s">
        <v>2543</v>
      </c>
      <c r="N883" s="16" t="s">
        <v>2297</v>
      </c>
      <c r="O883" s="18" t="s">
        <v>2544</v>
      </c>
      <c r="P883" s="18" t="s">
        <v>2299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1196</v>
      </c>
      <c r="K884" s="18">
        <v>9807143</v>
      </c>
      <c r="L884" s="18">
        <v>891973</v>
      </c>
      <c r="M884" s="18" t="s">
        <v>2545</v>
      </c>
      <c r="N884" s="16" t="s">
        <v>2297</v>
      </c>
      <c r="O884" s="18" t="s">
        <v>2546</v>
      </c>
      <c r="P884" s="18" t="s">
        <v>2299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1196</v>
      </c>
      <c r="K885" s="18">
        <v>9815714</v>
      </c>
      <c r="L885" s="18">
        <v>912402</v>
      </c>
      <c r="M885" s="18" t="s">
        <v>2547</v>
      </c>
      <c r="N885" s="16" t="s">
        <v>2548</v>
      </c>
      <c r="O885" s="18" t="s">
        <v>2549</v>
      </c>
      <c r="P885" s="18" t="s">
        <v>2550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1196</v>
      </c>
      <c r="K886" s="18">
        <v>9815714</v>
      </c>
      <c r="L886" s="18">
        <v>912412</v>
      </c>
      <c r="M886" s="18" t="s">
        <v>2551</v>
      </c>
      <c r="N886" s="16" t="s">
        <v>2548</v>
      </c>
      <c r="O886" s="18" t="s">
        <v>2552</v>
      </c>
      <c r="P886" s="18" t="s">
        <v>1523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1196</v>
      </c>
      <c r="K887" s="18">
        <v>9807146</v>
      </c>
      <c r="L887" s="18">
        <v>893174</v>
      </c>
      <c r="M887" s="18" t="s">
        <v>2553</v>
      </c>
      <c r="N887" s="16" t="s">
        <v>2297</v>
      </c>
      <c r="O887" s="18" t="s">
        <v>2554</v>
      </c>
      <c r="P887" s="18" t="s">
        <v>2302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1196</v>
      </c>
      <c r="K888" s="18">
        <v>9807150</v>
      </c>
      <c r="L888" s="18">
        <v>893194</v>
      </c>
      <c r="M888" s="18" t="s">
        <v>2555</v>
      </c>
      <c r="N888" s="16" t="s">
        <v>2297</v>
      </c>
      <c r="O888" s="18" t="s">
        <v>2556</v>
      </c>
      <c r="P888" s="18" t="s">
        <v>2302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1196</v>
      </c>
      <c r="K889" s="18">
        <v>9807206</v>
      </c>
      <c r="L889" s="18">
        <v>893252</v>
      </c>
      <c r="M889" s="18" t="s">
        <v>2557</v>
      </c>
      <c r="N889" s="16" t="s">
        <v>2297</v>
      </c>
      <c r="O889" s="18" t="s">
        <v>2558</v>
      </c>
      <c r="P889" s="18" t="s">
        <v>2302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1196</v>
      </c>
      <c r="K890" s="18">
        <v>9807143</v>
      </c>
      <c r="L890" s="18">
        <v>891973</v>
      </c>
      <c r="M890" s="18" t="s">
        <v>2559</v>
      </c>
      <c r="N890" s="16" t="s">
        <v>2297</v>
      </c>
      <c r="O890" s="18" t="s">
        <v>2560</v>
      </c>
      <c r="P890" s="18" t="s">
        <v>2302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1196</v>
      </c>
      <c r="K891" s="18">
        <v>9838893</v>
      </c>
      <c r="L891" s="18">
        <v>917792</v>
      </c>
      <c r="M891" s="18" t="s">
        <v>2561</v>
      </c>
      <c r="N891" s="16" t="s">
        <v>2536</v>
      </c>
      <c r="O891" s="18" t="s">
        <v>2562</v>
      </c>
      <c r="P891" s="18" t="s">
        <v>2538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1196</v>
      </c>
      <c r="K892" s="18">
        <v>9803921</v>
      </c>
      <c r="L892" s="18">
        <v>890873</v>
      </c>
      <c r="M892" s="18" t="s">
        <v>2563</v>
      </c>
      <c r="N892" s="16" t="s">
        <v>2004</v>
      </c>
      <c r="O892" s="18" t="s">
        <v>2050</v>
      </c>
      <c r="P892" s="18" t="s">
        <v>2496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1196</v>
      </c>
      <c r="K893" s="18">
        <v>9814604</v>
      </c>
      <c r="L893" s="18">
        <v>891429</v>
      </c>
      <c r="M893" s="18" t="s">
        <v>1092</v>
      </c>
      <c r="N893" s="16" t="s">
        <v>1092</v>
      </c>
      <c r="O893" s="18" t="s">
        <v>1092</v>
      </c>
      <c r="P893" s="18" t="s">
        <v>1092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1303</v>
      </c>
      <c r="G894" s="22">
        <v>10408</v>
      </c>
      <c r="H894" s="22"/>
      <c r="I894" s="22">
        <f t="shared" si="14"/>
        <v>10408</v>
      </c>
      <c r="J894" s="18" t="s">
        <v>1110</v>
      </c>
      <c r="K894" s="18">
        <v>5019896</v>
      </c>
      <c r="L894" s="18">
        <v>890887</v>
      </c>
      <c r="M894" s="18" t="s">
        <v>2564</v>
      </c>
      <c r="N894" s="16" t="s">
        <v>2004</v>
      </c>
      <c r="O894" s="18" t="s">
        <v>1774</v>
      </c>
      <c r="P894" s="18" t="s">
        <v>2004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2487</v>
      </c>
      <c r="G895" s="22">
        <v>10385</v>
      </c>
      <c r="H895" s="22"/>
      <c r="I895" s="22">
        <f t="shared" si="14"/>
        <v>10385</v>
      </c>
      <c r="J895" s="18" t="s">
        <v>1110</v>
      </c>
      <c r="K895" s="18">
        <v>5019891</v>
      </c>
      <c r="L895" s="18">
        <v>890960</v>
      </c>
      <c r="M895" s="18" t="s">
        <v>2565</v>
      </c>
      <c r="N895" s="16" t="s">
        <v>2496</v>
      </c>
      <c r="O895" s="18" t="s">
        <v>2566</v>
      </c>
      <c r="P895" s="18" t="s">
        <v>2496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>
      <c r="A896" s="16">
        <v>46094</v>
      </c>
      <c r="B896" s="16">
        <v>46100</v>
      </c>
      <c r="C896" s="21" t="s">
        <v>1131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2164</v>
      </c>
      <c r="G896" s="22">
        <v>1948.8</v>
      </c>
      <c r="H896" s="22"/>
      <c r="I896" s="22">
        <f t="shared" ref="I896:I959" si="15">G896+H896</f>
        <v>1948.8</v>
      </c>
      <c r="J896" s="18" t="s">
        <v>1110</v>
      </c>
      <c r="K896" s="18">
        <v>5019892</v>
      </c>
      <c r="L896" s="18">
        <v>890960</v>
      </c>
      <c r="M896" s="18" t="s">
        <v>2565</v>
      </c>
      <c r="N896" s="16" t="s">
        <v>2496</v>
      </c>
      <c r="O896" s="18" t="s">
        <v>2566</v>
      </c>
      <c r="P896" s="18" t="s">
        <v>2496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1110</v>
      </c>
      <c r="K897" s="18">
        <v>9803893</v>
      </c>
      <c r="L897" s="18">
        <v>889647</v>
      </c>
      <c r="M897" s="18" t="s">
        <v>2567</v>
      </c>
      <c r="N897" s="16" t="s">
        <v>2004</v>
      </c>
      <c r="O897" s="18" t="s">
        <v>2568</v>
      </c>
      <c r="P897" s="18" t="s">
        <v>2345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1262</v>
      </c>
      <c r="K898" s="18">
        <v>9803895</v>
      </c>
      <c r="L898" s="18">
        <v>890844</v>
      </c>
      <c r="M898" s="18" t="s">
        <v>2569</v>
      </c>
      <c r="N898" s="16" t="s">
        <v>2004</v>
      </c>
      <c r="O898" s="18" t="s">
        <v>2570</v>
      </c>
      <c r="P898" s="18" t="s">
        <v>2304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1196</v>
      </c>
      <c r="K899" s="18">
        <v>9822679</v>
      </c>
      <c r="L899" s="18" t="s">
        <v>1092</v>
      </c>
      <c r="M899" s="18" t="s">
        <v>1092</v>
      </c>
      <c r="N899" s="16" t="s">
        <v>1092</v>
      </c>
      <c r="O899" s="18" t="s">
        <v>1092</v>
      </c>
      <c r="P899" s="18" t="s">
        <v>1092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>
      <c r="A900" s="16">
        <v>46094</v>
      </c>
      <c r="B900" s="16">
        <v>46136</v>
      </c>
      <c r="C900" s="21" t="s">
        <v>1131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1110</v>
      </c>
      <c r="K900" s="18">
        <v>9826614</v>
      </c>
      <c r="L900" s="18">
        <v>913789</v>
      </c>
      <c r="M900" s="18" t="s">
        <v>2571</v>
      </c>
      <c r="N900" s="16" t="s">
        <v>2536</v>
      </c>
      <c r="O900" s="18" t="s">
        <v>2572</v>
      </c>
      <c r="P900" s="18" t="s">
        <v>2573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>
      <c r="A901" s="16">
        <v>46094</v>
      </c>
      <c r="B901" s="16">
        <v>46135</v>
      </c>
      <c r="C901" s="21" t="s">
        <v>1131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1110</v>
      </c>
      <c r="K901" s="18">
        <v>9826618</v>
      </c>
      <c r="L901" s="18">
        <v>915331</v>
      </c>
      <c r="M901" s="18" t="s">
        <v>2574</v>
      </c>
      <c r="N901" s="16" t="s">
        <v>2575</v>
      </c>
      <c r="O901" s="18" t="s">
        <v>2576</v>
      </c>
      <c r="P901" s="18" t="s">
        <v>2577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>
      <c r="A902" s="16">
        <v>46094</v>
      </c>
      <c r="B902" s="16">
        <v>46125</v>
      </c>
      <c r="C902" s="21" t="s">
        <v>1131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1110</v>
      </c>
      <c r="K902" s="18">
        <v>9826617</v>
      </c>
      <c r="L902" s="18">
        <v>893455</v>
      </c>
      <c r="M902" s="18" t="s">
        <v>2578</v>
      </c>
      <c r="N902" s="16" t="s">
        <v>2579</v>
      </c>
      <c r="O902" s="18" t="s">
        <v>2580</v>
      </c>
      <c r="P902" s="18" t="s">
        <v>2581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>
      <c r="A903" s="16">
        <v>46094</v>
      </c>
      <c r="B903" s="16">
        <v>46125</v>
      </c>
      <c r="C903" s="21" t="s">
        <v>1131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1110</v>
      </c>
      <c r="K903" s="18">
        <v>9826616</v>
      </c>
      <c r="L903" s="18">
        <v>905308</v>
      </c>
      <c r="M903" s="18" t="s">
        <v>2582</v>
      </c>
      <c r="N903" s="16" t="s">
        <v>2579</v>
      </c>
      <c r="O903" s="18" t="s">
        <v>2583</v>
      </c>
      <c r="P903" s="18" t="s">
        <v>2584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1248</v>
      </c>
      <c r="K904" s="18">
        <v>5019890</v>
      </c>
      <c r="L904" s="18" t="s">
        <v>1092</v>
      </c>
      <c r="M904" s="18" t="s">
        <v>1092</v>
      </c>
      <c r="N904" s="16" t="s">
        <v>1092</v>
      </c>
      <c r="O904" s="18" t="s">
        <v>1092</v>
      </c>
      <c r="P904" s="18" t="s">
        <v>1092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1248</v>
      </c>
      <c r="K905" s="18">
        <v>5019890</v>
      </c>
      <c r="L905" s="18" t="s">
        <v>1092</v>
      </c>
      <c r="M905" s="18" t="s">
        <v>1092</v>
      </c>
      <c r="N905" s="16" t="s">
        <v>1092</v>
      </c>
      <c r="O905" s="18" t="s">
        <v>1092</v>
      </c>
      <c r="P905" s="18" t="s">
        <v>1092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1196</v>
      </c>
      <c r="K906" s="18">
        <v>9798993</v>
      </c>
      <c r="L906" s="18">
        <v>882759</v>
      </c>
      <c r="M906" s="18" t="s">
        <v>2585</v>
      </c>
      <c r="N906" s="16" t="s">
        <v>2265</v>
      </c>
      <c r="O906" s="18" t="s">
        <v>2586</v>
      </c>
      <c r="P906" s="18" t="s">
        <v>2587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1196</v>
      </c>
      <c r="K907" s="18">
        <v>9804066</v>
      </c>
      <c r="L907" s="18">
        <v>896937</v>
      </c>
      <c r="M907" s="18" t="s">
        <v>2588</v>
      </c>
      <c r="N907" s="16" t="s">
        <v>2589</v>
      </c>
      <c r="O907" s="18" t="s">
        <v>2590</v>
      </c>
      <c r="P907" s="18" t="s">
        <v>2591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1196</v>
      </c>
      <c r="K908" s="18">
        <v>9804063</v>
      </c>
      <c r="L908" s="18">
        <v>891413</v>
      </c>
      <c r="M908" s="18" t="s">
        <v>2592</v>
      </c>
      <c r="N908" s="16" t="s">
        <v>2496</v>
      </c>
      <c r="O908" s="18" t="s">
        <v>2593</v>
      </c>
      <c r="P908" s="18" t="s">
        <v>2594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>
      <c r="A909" s="16">
        <v>46094</v>
      </c>
      <c r="B909" s="16">
        <v>46101</v>
      </c>
      <c r="C909" s="21" t="s">
        <v>2595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1196</v>
      </c>
      <c r="K909" s="18" t="s">
        <v>2596</v>
      </c>
      <c r="L909" s="18">
        <v>891676</v>
      </c>
      <c r="M909" s="18" t="s">
        <v>2597</v>
      </c>
      <c r="N909" s="16" t="s">
        <v>2496</v>
      </c>
      <c r="O909" s="18" t="s">
        <v>1854</v>
      </c>
      <c r="P909" s="18" t="s">
        <v>2304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>
      <c r="A910" s="16">
        <v>46094</v>
      </c>
      <c r="B910" s="16">
        <v>46099</v>
      </c>
      <c r="C910" s="21" t="s">
        <v>1131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1131</v>
      </c>
      <c r="G910" s="22">
        <v>3350</v>
      </c>
      <c r="H910" s="22"/>
      <c r="I910" s="22">
        <f t="shared" si="15"/>
        <v>3350</v>
      </c>
      <c r="J910" s="18" t="s">
        <v>1196</v>
      </c>
      <c r="K910" s="18" t="s">
        <v>1131</v>
      </c>
      <c r="L910" s="18" t="s">
        <v>1092</v>
      </c>
      <c r="M910" s="18" t="s">
        <v>1092</v>
      </c>
      <c r="N910" s="16" t="s">
        <v>1092</v>
      </c>
      <c r="O910" s="18" t="s">
        <v>1092</v>
      </c>
      <c r="P910" s="18" t="s">
        <v>1092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1262</v>
      </c>
      <c r="K911" s="18" t="s">
        <v>1131</v>
      </c>
      <c r="L911" s="18" t="s">
        <v>1092</v>
      </c>
      <c r="M911" s="18" t="s">
        <v>1092</v>
      </c>
      <c r="N911" s="16" t="s">
        <v>1092</v>
      </c>
      <c r="O911" s="18" t="s">
        <v>1092</v>
      </c>
      <c r="P911" s="18" t="s">
        <v>1092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1196</v>
      </c>
      <c r="K912" s="18">
        <v>9796127</v>
      </c>
      <c r="L912" s="18">
        <v>885948</v>
      </c>
      <c r="M912" s="18" t="s">
        <v>2598</v>
      </c>
      <c r="N912" s="16" t="s">
        <v>2265</v>
      </c>
      <c r="O912" s="18" t="s">
        <v>2599</v>
      </c>
      <c r="P912" s="18" t="s">
        <v>2465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2600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1196</v>
      </c>
      <c r="K913" s="18">
        <v>9804061</v>
      </c>
      <c r="L913" s="18">
        <v>891168</v>
      </c>
      <c r="M913" s="18" t="s">
        <v>2601</v>
      </c>
      <c r="N913" s="16" t="s">
        <v>2496</v>
      </c>
      <c r="O913" s="18" t="s">
        <v>2602</v>
      </c>
      <c r="P913" s="18" t="s">
        <v>2603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2604</v>
      </c>
      <c r="G914" s="22">
        <v>532.36</v>
      </c>
      <c r="H914" s="22">
        <v>4175.38</v>
      </c>
      <c r="I914" s="22">
        <f t="shared" si="15"/>
        <v>4707.74</v>
      </c>
      <c r="J914" s="18" t="s">
        <v>1196</v>
      </c>
      <c r="K914" s="18">
        <v>5019897</v>
      </c>
      <c r="L914" s="18">
        <v>891462</v>
      </c>
      <c r="M914" s="18" t="s">
        <v>2605</v>
      </c>
      <c r="N914" s="16" t="s">
        <v>2496</v>
      </c>
      <c r="O914" s="18" t="s">
        <v>2606</v>
      </c>
      <c r="P914" s="18" t="s">
        <v>2297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1196</v>
      </c>
      <c r="K915" s="18">
        <v>5019893</v>
      </c>
      <c r="L915" s="18" t="s">
        <v>1092</v>
      </c>
      <c r="M915" s="18" t="s">
        <v>1092</v>
      </c>
      <c r="N915" s="16" t="s">
        <v>1092</v>
      </c>
      <c r="O915" s="18" t="s">
        <v>1092</v>
      </c>
      <c r="P915" s="18" t="s">
        <v>1092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1196</v>
      </c>
      <c r="K916" s="18">
        <v>5019894</v>
      </c>
      <c r="L916" s="18" t="s">
        <v>1092</v>
      </c>
      <c r="M916" s="18" t="s">
        <v>1092</v>
      </c>
      <c r="N916" s="16" t="s">
        <v>1092</v>
      </c>
      <c r="O916" s="18" t="s">
        <v>1092</v>
      </c>
      <c r="P916" s="18" t="s">
        <v>1092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1196</v>
      </c>
      <c r="K917" s="18">
        <v>5019895</v>
      </c>
      <c r="L917" s="18" t="s">
        <v>1092</v>
      </c>
      <c r="M917" s="18" t="s">
        <v>1092</v>
      </c>
      <c r="N917" s="16" t="s">
        <v>1092</v>
      </c>
      <c r="O917" s="18" t="s">
        <v>1092</v>
      </c>
      <c r="P917" s="18" t="s">
        <v>1092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2607</v>
      </c>
      <c r="G918" s="22">
        <v>9750</v>
      </c>
      <c r="H918" s="22"/>
      <c r="I918" s="22">
        <f t="shared" si="15"/>
        <v>9750</v>
      </c>
      <c r="J918" s="18" t="s">
        <v>1248</v>
      </c>
      <c r="K918" s="18">
        <v>9814045</v>
      </c>
      <c r="L918" s="18">
        <v>900512</v>
      </c>
      <c r="M918" s="18" t="s">
        <v>2608</v>
      </c>
      <c r="N918" s="16" t="s">
        <v>2532</v>
      </c>
      <c r="O918" s="18" t="s">
        <v>2609</v>
      </c>
      <c r="P918" s="18" t="s">
        <v>2501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2610</v>
      </c>
      <c r="G919" s="22">
        <v>3050</v>
      </c>
      <c r="H919" s="22"/>
      <c r="I919" s="22">
        <f t="shared" si="15"/>
        <v>3050</v>
      </c>
      <c r="J919" s="18" t="s">
        <v>1248</v>
      </c>
      <c r="K919" s="18">
        <v>9814047</v>
      </c>
      <c r="L919" s="18">
        <v>900512</v>
      </c>
      <c r="M919" s="18" t="s">
        <v>2608</v>
      </c>
      <c r="N919" s="16" t="s">
        <v>2532</v>
      </c>
      <c r="O919" s="18" t="s">
        <v>2609</v>
      </c>
      <c r="P919" s="18" t="s">
        <v>2501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1110</v>
      </c>
      <c r="K920" s="18">
        <v>9817226</v>
      </c>
      <c r="L920" s="18">
        <v>905358</v>
      </c>
      <c r="M920" s="18" t="s">
        <v>2611</v>
      </c>
      <c r="N920" s="16" t="s">
        <v>2579</v>
      </c>
      <c r="O920" s="18" t="s">
        <v>2612</v>
      </c>
      <c r="P920" s="18" t="s">
        <v>2613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1110</v>
      </c>
      <c r="K921" s="18">
        <v>9817227</v>
      </c>
      <c r="L921" s="18">
        <v>905374</v>
      </c>
      <c r="M921" s="18" t="s">
        <v>2614</v>
      </c>
      <c r="N921" s="16" t="s">
        <v>2579</v>
      </c>
      <c r="O921" s="18" t="s">
        <v>2615</v>
      </c>
      <c r="P921" s="18" t="s">
        <v>2613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1110</v>
      </c>
      <c r="K922" s="18">
        <v>9817229</v>
      </c>
      <c r="L922" s="18">
        <v>903514</v>
      </c>
      <c r="M922" s="18" t="s">
        <v>2616</v>
      </c>
      <c r="N922" s="16" t="s">
        <v>2589</v>
      </c>
      <c r="O922" s="18" t="s">
        <v>1749</v>
      </c>
      <c r="P922" s="18" t="s">
        <v>2501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1110</v>
      </c>
      <c r="K923" s="18">
        <v>9817230</v>
      </c>
      <c r="L923" s="18">
        <v>903514</v>
      </c>
      <c r="M923" s="18" t="s">
        <v>2616</v>
      </c>
      <c r="N923" s="16" t="s">
        <v>2589</v>
      </c>
      <c r="O923" s="18" t="s">
        <v>1749</v>
      </c>
      <c r="P923" s="18" t="s">
        <v>2501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1110</v>
      </c>
      <c r="K924" s="18">
        <v>9817232</v>
      </c>
      <c r="L924" s="18">
        <v>903514</v>
      </c>
      <c r="M924" s="18" t="s">
        <v>2616</v>
      </c>
      <c r="N924" s="16" t="s">
        <v>2589</v>
      </c>
      <c r="O924" s="18" t="s">
        <v>1749</v>
      </c>
      <c r="P924" s="18" t="s">
        <v>2501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1110</v>
      </c>
      <c r="K925" s="18">
        <v>9817233</v>
      </c>
      <c r="L925" s="18">
        <v>903860</v>
      </c>
      <c r="M925" s="18" t="s">
        <v>2617</v>
      </c>
      <c r="N925" s="16" t="s">
        <v>2501</v>
      </c>
      <c r="O925" s="18" t="s">
        <v>2618</v>
      </c>
      <c r="P925" s="18" t="s">
        <v>2501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1110</v>
      </c>
      <c r="K926" s="18">
        <v>9817235</v>
      </c>
      <c r="L926" s="18">
        <v>903860</v>
      </c>
      <c r="M926" s="18" t="s">
        <v>2617</v>
      </c>
      <c r="N926" s="16" t="s">
        <v>2501</v>
      </c>
      <c r="O926" s="18" t="s">
        <v>2618</v>
      </c>
      <c r="P926" s="18" t="s">
        <v>2501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1110</v>
      </c>
      <c r="K927" s="18">
        <v>9817236</v>
      </c>
      <c r="L927" s="18">
        <v>903860</v>
      </c>
      <c r="M927" s="18" t="s">
        <v>2617</v>
      </c>
      <c r="N927" s="16" t="s">
        <v>2501</v>
      </c>
      <c r="O927" s="18" t="s">
        <v>2618</v>
      </c>
      <c r="P927" s="18" t="s">
        <v>2501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1110</v>
      </c>
      <c r="K928" s="18">
        <v>9817237</v>
      </c>
      <c r="L928" s="18">
        <v>903860</v>
      </c>
      <c r="M928" s="18" t="s">
        <v>2617</v>
      </c>
      <c r="N928" s="16" t="s">
        <v>2501</v>
      </c>
      <c r="O928" s="18" t="s">
        <v>2618</v>
      </c>
      <c r="P928" s="18" t="s">
        <v>2501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1110</v>
      </c>
      <c r="K929" s="18">
        <v>9814612</v>
      </c>
      <c r="L929" s="18">
        <v>905389</v>
      </c>
      <c r="M929" s="18" t="s">
        <v>2619</v>
      </c>
      <c r="N929" s="16" t="s">
        <v>2613</v>
      </c>
      <c r="O929" s="18" t="s">
        <v>2620</v>
      </c>
      <c r="P929" s="18" t="s">
        <v>2621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1110</v>
      </c>
      <c r="K930" s="18">
        <v>9802731</v>
      </c>
      <c r="L930" s="18">
        <v>881785</v>
      </c>
      <c r="M930" s="18" t="s">
        <v>2622</v>
      </c>
      <c r="N930" s="16" t="s">
        <v>2198</v>
      </c>
      <c r="O930" s="18" t="s">
        <v>2623</v>
      </c>
      <c r="P930" s="18" t="s">
        <v>2505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1110</v>
      </c>
      <c r="K931" s="18">
        <v>9813725</v>
      </c>
      <c r="L931" s="18">
        <v>903524</v>
      </c>
      <c r="M931" s="18" t="s">
        <v>2624</v>
      </c>
      <c r="N931" s="16" t="s">
        <v>2534</v>
      </c>
      <c r="O931" s="18" t="s">
        <v>2625</v>
      </c>
      <c r="P931" s="18" t="s">
        <v>2589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1110</v>
      </c>
      <c r="K932" s="18">
        <v>9815532</v>
      </c>
      <c r="L932" s="18">
        <v>906251</v>
      </c>
      <c r="M932" s="18" t="s">
        <v>2626</v>
      </c>
      <c r="N932" s="16" t="s">
        <v>2579</v>
      </c>
      <c r="O932" s="18" t="s">
        <v>2627</v>
      </c>
      <c r="P932" s="18" t="s">
        <v>2299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1110</v>
      </c>
      <c r="K933" s="18">
        <v>9813755</v>
      </c>
      <c r="L933" s="18">
        <v>903543</v>
      </c>
      <c r="M933" s="18" t="s">
        <v>2628</v>
      </c>
      <c r="N933" s="16" t="s">
        <v>2534</v>
      </c>
      <c r="O933" s="18" t="s">
        <v>2629</v>
      </c>
      <c r="P933" s="18" t="s">
        <v>2589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1110</v>
      </c>
      <c r="K934" s="18">
        <v>9825414</v>
      </c>
      <c r="L934" s="18">
        <v>894257</v>
      </c>
      <c r="M934" s="18" t="s">
        <v>1092</v>
      </c>
      <c r="N934" s="16" t="s">
        <v>1092</v>
      </c>
      <c r="O934" s="18" t="s">
        <v>1092</v>
      </c>
      <c r="P934" s="18" t="s">
        <v>1092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1196</v>
      </c>
      <c r="K935" s="18">
        <v>9815588</v>
      </c>
      <c r="L935" s="18">
        <v>896961</v>
      </c>
      <c r="M935" s="18" t="s">
        <v>2630</v>
      </c>
      <c r="N935" s="16" t="s">
        <v>2584</v>
      </c>
      <c r="O935" s="18" t="s">
        <v>2631</v>
      </c>
      <c r="P935" s="18" t="s">
        <v>2632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1196</v>
      </c>
      <c r="K936" s="18">
        <v>9815588</v>
      </c>
      <c r="L936" s="18">
        <v>896961</v>
      </c>
      <c r="M936" s="18" t="s">
        <v>2633</v>
      </c>
      <c r="N936" s="16" t="s">
        <v>2584</v>
      </c>
      <c r="O936" s="18" t="s">
        <v>2634</v>
      </c>
      <c r="P936" s="18" t="s">
        <v>2299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2635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1196</v>
      </c>
      <c r="K937" s="18">
        <v>9814757</v>
      </c>
      <c r="L937" s="18">
        <v>907138</v>
      </c>
      <c r="M937" s="18" t="s">
        <v>2636</v>
      </c>
      <c r="N937" s="16" t="s">
        <v>2637</v>
      </c>
      <c r="O937" s="18" t="s">
        <v>2638</v>
      </c>
      <c r="P937" s="18" t="s">
        <v>2639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1196</v>
      </c>
      <c r="K938" s="18" t="s">
        <v>1092</v>
      </c>
      <c r="L938" s="18" t="s">
        <v>1092</v>
      </c>
      <c r="M938" s="18" t="s">
        <v>2640</v>
      </c>
      <c r="N938" s="16" t="s">
        <v>2637</v>
      </c>
      <c r="O938" s="18" t="s">
        <v>2641</v>
      </c>
      <c r="P938" s="18" t="s">
        <v>2299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1196</v>
      </c>
      <c r="K939" s="18">
        <v>9814782</v>
      </c>
      <c r="L939" s="18">
        <v>907092</v>
      </c>
      <c r="M939" s="18" t="s">
        <v>2642</v>
      </c>
      <c r="N939" s="16" t="s">
        <v>2637</v>
      </c>
      <c r="O939" s="18" t="s">
        <v>2643</v>
      </c>
      <c r="P939" s="18" t="s">
        <v>2299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1196</v>
      </c>
      <c r="K940" s="18">
        <v>9814782</v>
      </c>
      <c r="L940" s="18">
        <v>907092</v>
      </c>
      <c r="M940" s="18" t="s">
        <v>2644</v>
      </c>
      <c r="N940" s="16" t="s">
        <v>2637</v>
      </c>
      <c r="O940" s="18" t="s">
        <v>2645</v>
      </c>
      <c r="P940" s="18" t="s">
        <v>2299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1196</v>
      </c>
      <c r="K941" s="18">
        <v>9813915</v>
      </c>
      <c r="L941" s="18">
        <v>903462</v>
      </c>
      <c r="M941" s="18" t="s">
        <v>2646</v>
      </c>
      <c r="N941" s="16" t="s">
        <v>2589</v>
      </c>
      <c r="O941" s="18" t="s">
        <v>2647</v>
      </c>
      <c r="P941" s="18" t="s">
        <v>2591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1196</v>
      </c>
      <c r="K942" s="18">
        <v>9813996</v>
      </c>
      <c r="L942" s="18">
        <v>903440</v>
      </c>
      <c r="M942" s="18" t="s">
        <v>2648</v>
      </c>
      <c r="N942" s="16" t="s">
        <v>2589</v>
      </c>
      <c r="O942" s="18" t="s">
        <v>2649</v>
      </c>
      <c r="P942" s="18" t="s">
        <v>2650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1196</v>
      </c>
      <c r="K943" s="18">
        <v>9814786</v>
      </c>
      <c r="L943" s="18">
        <v>904145</v>
      </c>
      <c r="M943" s="18" t="s">
        <v>2651</v>
      </c>
      <c r="N943" s="16" t="s">
        <v>2501</v>
      </c>
      <c r="O943" s="18" t="s">
        <v>2652</v>
      </c>
      <c r="P943" s="18" t="s">
        <v>2653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1196</v>
      </c>
      <c r="K944" s="18">
        <v>9815398</v>
      </c>
      <c r="L944" s="18">
        <v>903171</v>
      </c>
      <c r="M944" s="18" t="s">
        <v>2654</v>
      </c>
      <c r="N944" s="16" t="s">
        <v>2534</v>
      </c>
      <c r="O944" s="18" t="s">
        <v>2655</v>
      </c>
      <c r="P944" s="18" t="s">
        <v>2656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1196</v>
      </c>
      <c r="K945" s="18">
        <v>9826569</v>
      </c>
      <c r="L945" s="18">
        <v>906855</v>
      </c>
      <c r="M945" s="18" t="s">
        <v>2657</v>
      </c>
      <c r="N945" s="16" t="s">
        <v>2613</v>
      </c>
      <c r="O945" s="18" t="s">
        <v>2658</v>
      </c>
      <c r="P945" s="18" t="s">
        <v>2581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1196</v>
      </c>
      <c r="K946" s="18">
        <v>894276</v>
      </c>
      <c r="L946" s="18">
        <v>903478</v>
      </c>
      <c r="M946" s="18" t="s">
        <v>2659</v>
      </c>
      <c r="N946" s="16" t="s">
        <v>2589</v>
      </c>
      <c r="O946" s="18" t="s">
        <v>2660</v>
      </c>
      <c r="P946" s="18" t="s">
        <v>2591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1196</v>
      </c>
      <c r="K947" s="18">
        <v>9814789</v>
      </c>
      <c r="L947" s="18">
        <v>895286</v>
      </c>
      <c r="M947" s="18" t="s">
        <v>2661</v>
      </c>
      <c r="N947" s="16" t="s">
        <v>2579</v>
      </c>
      <c r="O947" s="18" t="s">
        <v>2662</v>
      </c>
      <c r="P947" s="18" t="s">
        <v>2663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1196</v>
      </c>
      <c r="K948" s="18">
        <v>9814023</v>
      </c>
      <c r="L948" s="18">
        <v>903310</v>
      </c>
      <c r="M948" s="18" t="s">
        <v>2664</v>
      </c>
      <c r="N948" s="16" t="s">
        <v>2534</v>
      </c>
      <c r="O948" s="18" t="s">
        <v>2665</v>
      </c>
      <c r="P948" s="18" t="s">
        <v>2591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>
      <c r="A949" s="16">
        <v>46099</v>
      </c>
      <c r="B949" s="16">
        <v>46104</v>
      </c>
      <c r="C949" s="21" t="s">
        <v>1131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1196</v>
      </c>
      <c r="K949" s="18" t="s">
        <v>1092</v>
      </c>
      <c r="L949" s="18" t="s">
        <v>1092</v>
      </c>
      <c r="M949" s="18" t="s">
        <v>1092</v>
      </c>
      <c r="N949" s="16" t="s">
        <v>1092</v>
      </c>
      <c r="O949" s="18" t="s">
        <v>1092</v>
      </c>
      <c r="P949" s="18" t="s">
        <v>1092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1262</v>
      </c>
      <c r="K950" s="18">
        <v>9814530</v>
      </c>
      <c r="L950" s="18">
        <v>903502</v>
      </c>
      <c r="M950" s="18" t="s">
        <v>2666</v>
      </c>
      <c r="N950" s="16" t="s">
        <v>2589</v>
      </c>
      <c r="O950" s="18" t="s">
        <v>2667</v>
      </c>
      <c r="P950" s="18" t="s">
        <v>2668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1131</v>
      </c>
      <c r="G951" s="22">
        <v>3190</v>
      </c>
      <c r="H951" s="22"/>
      <c r="I951" s="22">
        <f t="shared" si="15"/>
        <v>3190</v>
      </c>
      <c r="J951" s="18" t="s">
        <v>1196</v>
      </c>
      <c r="K951" s="18">
        <v>9822828</v>
      </c>
      <c r="L951" s="18" t="s">
        <v>1092</v>
      </c>
      <c r="M951" s="18" t="s">
        <v>1092</v>
      </c>
      <c r="N951" s="16" t="s">
        <v>1092</v>
      </c>
      <c r="O951" s="18" t="s">
        <v>1092</v>
      </c>
      <c r="P951" s="18" t="s">
        <v>1092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1131</v>
      </c>
      <c r="G952" s="22">
        <v>1160</v>
      </c>
      <c r="H952" s="22"/>
      <c r="I952" s="22">
        <f t="shared" si="15"/>
        <v>1160</v>
      </c>
      <c r="J952" s="18" t="s">
        <v>1196</v>
      </c>
      <c r="K952" s="18">
        <v>9822825</v>
      </c>
      <c r="L952" s="18" t="s">
        <v>1092</v>
      </c>
      <c r="M952" s="18" t="s">
        <v>1092</v>
      </c>
      <c r="N952" s="16" t="s">
        <v>1092</v>
      </c>
      <c r="O952" s="18" t="s">
        <v>1092</v>
      </c>
      <c r="P952" s="18" t="s">
        <v>1092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1196</v>
      </c>
      <c r="K953" s="18">
        <v>9826769</v>
      </c>
      <c r="L953" s="18" t="s">
        <v>1131</v>
      </c>
      <c r="M953" s="18" t="s">
        <v>1092</v>
      </c>
      <c r="N953" s="16" t="s">
        <v>1092</v>
      </c>
      <c r="O953" s="18" t="s">
        <v>1092</v>
      </c>
      <c r="P953" s="18" t="s">
        <v>1092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>
      <c r="A954" s="16">
        <v>46099</v>
      </c>
      <c r="B954" s="16">
        <v>46119</v>
      </c>
      <c r="C954" s="21" t="s">
        <v>1131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1196</v>
      </c>
      <c r="K954" s="18">
        <v>9822836</v>
      </c>
      <c r="L954" s="18" t="s">
        <v>1092</v>
      </c>
      <c r="M954" s="18" t="s">
        <v>1092</v>
      </c>
      <c r="N954" s="16" t="s">
        <v>1092</v>
      </c>
      <c r="O954" s="18" t="s">
        <v>1092</v>
      </c>
      <c r="P954" s="18" t="s">
        <v>1092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1131</v>
      </c>
      <c r="G955" s="22">
        <v>14150</v>
      </c>
      <c r="H955" s="22"/>
      <c r="I955" s="22">
        <f t="shared" si="15"/>
        <v>14150</v>
      </c>
      <c r="J955" s="18" t="s">
        <v>1254</v>
      </c>
      <c r="K955" s="18">
        <v>9813724</v>
      </c>
      <c r="L955" s="18">
        <v>922257</v>
      </c>
      <c r="M955" s="18" t="s">
        <v>2669</v>
      </c>
      <c r="N955" s="16" t="s">
        <v>2670</v>
      </c>
      <c r="O955" s="18" t="s">
        <v>1406</v>
      </c>
      <c r="P955" s="18" t="s">
        <v>2671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1196</v>
      </c>
      <c r="K956" s="18">
        <v>9826570</v>
      </c>
      <c r="L956" s="18">
        <v>906877</v>
      </c>
      <c r="M956" s="18" t="s">
        <v>2672</v>
      </c>
      <c r="N956" s="16" t="s">
        <v>2613</v>
      </c>
      <c r="O956" s="18" t="s">
        <v>2673</v>
      </c>
      <c r="P956" s="18" t="s">
        <v>2613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1196</v>
      </c>
      <c r="K957" s="18">
        <v>9816486</v>
      </c>
      <c r="L957" s="18">
        <v>904578</v>
      </c>
      <c r="M957" s="18" t="s">
        <v>2674</v>
      </c>
      <c r="N957" s="16" t="s">
        <v>2675</v>
      </c>
      <c r="O957" s="18" t="s">
        <v>2676</v>
      </c>
      <c r="P957" s="18" t="s">
        <v>2613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1196</v>
      </c>
      <c r="K958" s="18">
        <v>9816499</v>
      </c>
      <c r="L958" s="18">
        <v>9816495</v>
      </c>
      <c r="M958" s="18" t="s">
        <v>1092</v>
      </c>
      <c r="N958" s="16" t="s">
        <v>1092</v>
      </c>
      <c r="O958" s="18" t="s">
        <v>1092</v>
      </c>
      <c r="P958" s="18" t="s">
        <v>1092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1077</v>
      </c>
      <c r="K959" s="18">
        <v>9814999</v>
      </c>
      <c r="L959" s="18">
        <v>9816495</v>
      </c>
      <c r="M959" s="18" t="s">
        <v>1092</v>
      </c>
      <c r="N959" s="16" t="s">
        <v>1092</v>
      </c>
      <c r="O959" s="18" t="s">
        <v>1092</v>
      </c>
      <c r="P959" s="18" t="s">
        <v>1092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1077</v>
      </c>
      <c r="K960" s="18">
        <v>9816481</v>
      </c>
      <c r="L960" s="18">
        <v>904578</v>
      </c>
      <c r="M960" s="18" t="s">
        <v>2674</v>
      </c>
      <c r="N960" s="16" t="s">
        <v>2675</v>
      </c>
      <c r="O960" s="18" t="s">
        <v>2676</v>
      </c>
      <c r="P960" s="18" t="s">
        <v>2613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1196</v>
      </c>
      <c r="K961" s="18">
        <v>9816495</v>
      </c>
      <c r="L961" s="18">
        <v>9816495</v>
      </c>
      <c r="M961" s="18" t="s">
        <v>1092</v>
      </c>
      <c r="N961" s="16" t="s">
        <v>1092</v>
      </c>
      <c r="O961" s="18" t="s">
        <v>1092</v>
      </c>
      <c r="P961" s="18" t="s">
        <v>1092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1196</v>
      </c>
      <c r="K962" s="18">
        <v>9816497</v>
      </c>
      <c r="L962" s="18">
        <v>9816495</v>
      </c>
      <c r="M962" s="18" t="s">
        <v>1092</v>
      </c>
      <c r="N962" s="16" t="s">
        <v>1092</v>
      </c>
      <c r="O962" s="18" t="s">
        <v>1092</v>
      </c>
      <c r="P962" s="18" t="s">
        <v>1092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1077</v>
      </c>
      <c r="K963" s="18">
        <v>9814997</v>
      </c>
      <c r="L963" s="18">
        <v>9816495</v>
      </c>
      <c r="M963" s="18" t="s">
        <v>1092</v>
      </c>
      <c r="N963" s="16" t="s">
        <v>1092</v>
      </c>
      <c r="O963" s="18" t="s">
        <v>1092</v>
      </c>
      <c r="P963" s="18" t="s">
        <v>1092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1196</v>
      </c>
      <c r="K964" s="18">
        <v>9817224</v>
      </c>
      <c r="L964" s="18">
        <v>9816495</v>
      </c>
      <c r="M964" s="18" t="s">
        <v>1092</v>
      </c>
      <c r="N964" s="16" t="s">
        <v>1092</v>
      </c>
      <c r="O964" s="18" t="s">
        <v>1092</v>
      </c>
      <c r="P964" s="18" t="s">
        <v>1092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1077</v>
      </c>
      <c r="K965" s="18">
        <v>9816484</v>
      </c>
      <c r="L965" s="18">
        <v>904578</v>
      </c>
      <c r="M965" s="18" t="s">
        <v>2674</v>
      </c>
      <c r="N965" s="16" t="s">
        <v>2675</v>
      </c>
      <c r="O965" s="18" t="s">
        <v>2676</v>
      </c>
      <c r="P965" s="18" t="s">
        <v>2613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1196</v>
      </c>
      <c r="K966" s="18">
        <v>9816489</v>
      </c>
      <c r="L966" s="18">
        <v>904578</v>
      </c>
      <c r="M966" s="18" t="s">
        <v>2674</v>
      </c>
      <c r="N966" s="16" t="s">
        <v>2675</v>
      </c>
      <c r="O966" s="18" t="s">
        <v>2676</v>
      </c>
      <c r="P966" s="18" t="s">
        <v>2613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1196</v>
      </c>
      <c r="K967" s="18">
        <v>9816490</v>
      </c>
      <c r="L967" s="18">
        <v>904578</v>
      </c>
      <c r="M967" s="18" t="s">
        <v>2674</v>
      </c>
      <c r="N967" s="16" t="s">
        <v>2675</v>
      </c>
      <c r="O967" s="18" t="s">
        <v>2676</v>
      </c>
      <c r="P967" s="18" t="s">
        <v>2613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1196</v>
      </c>
      <c r="K968" s="18">
        <v>9822936</v>
      </c>
      <c r="L968" s="18">
        <v>904578</v>
      </c>
      <c r="M968" s="18" t="s">
        <v>2674</v>
      </c>
      <c r="N968" s="16" t="s">
        <v>2675</v>
      </c>
      <c r="O968" s="18" t="s">
        <v>2676</v>
      </c>
      <c r="P968" s="18" t="s">
        <v>2613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1077</v>
      </c>
      <c r="K969" s="18">
        <v>9816482</v>
      </c>
      <c r="L969" s="18">
        <v>904578</v>
      </c>
      <c r="M969" s="18" t="s">
        <v>2674</v>
      </c>
      <c r="N969" s="16" t="s">
        <v>2675</v>
      </c>
      <c r="O969" s="18" t="s">
        <v>2676</v>
      </c>
      <c r="P969" s="18" t="s">
        <v>2613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1077</v>
      </c>
      <c r="K970" s="18">
        <v>9816485</v>
      </c>
      <c r="L970" s="18">
        <v>904578</v>
      </c>
      <c r="M970" s="18" t="s">
        <v>2674</v>
      </c>
      <c r="N970" s="16" t="s">
        <v>2675</v>
      </c>
      <c r="O970" s="18" t="s">
        <v>2676</v>
      </c>
      <c r="P970" s="18" t="s">
        <v>2613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1196</v>
      </c>
      <c r="K971" s="18">
        <v>9816498</v>
      </c>
      <c r="L971" s="18">
        <v>9816495</v>
      </c>
      <c r="M971" s="18" t="s">
        <v>1092</v>
      </c>
      <c r="N971" s="16" t="s">
        <v>1092</v>
      </c>
      <c r="O971" s="18" t="s">
        <v>1092</v>
      </c>
      <c r="P971" s="18" t="s">
        <v>1092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1077</v>
      </c>
      <c r="K972" s="18">
        <v>9814998</v>
      </c>
      <c r="L972" s="18">
        <v>9816495</v>
      </c>
      <c r="M972" s="18" t="s">
        <v>1092</v>
      </c>
      <c r="N972" s="16" t="s">
        <v>1092</v>
      </c>
      <c r="O972" s="18" t="s">
        <v>1092</v>
      </c>
      <c r="P972" s="18" t="s">
        <v>1092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1196</v>
      </c>
      <c r="K973" s="18">
        <v>9816487</v>
      </c>
      <c r="L973" s="18">
        <v>904578</v>
      </c>
      <c r="M973" s="18" t="s">
        <v>2674</v>
      </c>
      <c r="N973" s="16" t="s">
        <v>2675</v>
      </c>
      <c r="O973" s="18" t="s">
        <v>2676</v>
      </c>
      <c r="P973" s="18" t="s">
        <v>2613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1196</v>
      </c>
      <c r="K974" s="18">
        <v>9816492</v>
      </c>
      <c r="L974" s="18">
        <v>904578</v>
      </c>
      <c r="M974" s="18" t="s">
        <v>2674</v>
      </c>
      <c r="N974" s="16" t="s">
        <v>2675</v>
      </c>
      <c r="O974" s="18" t="s">
        <v>2676</v>
      </c>
      <c r="P974" s="18" t="s">
        <v>2613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1196</v>
      </c>
      <c r="K975" s="18">
        <v>9816493</v>
      </c>
      <c r="L975" s="18">
        <v>904578</v>
      </c>
      <c r="M975" s="18" t="s">
        <v>2674</v>
      </c>
      <c r="N975" s="16" t="s">
        <v>2675</v>
      </c>
      <c r="O975" s="18" t="s">
        <v>2676</v>
      </c>
      <c r="P975" s="18" t="s">
        <v>2613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1196</v>
      </c>
      <c r="K976" s="18">
        <v>9817223</v>
      </c>
      <c r="L976" s="18">
        <v>9816495</v>
      </c>
      <c r="M976" s="18" t="s">
        <v>2677</v>
      </c>
      <c r="N976" s="16" t="s">
        <v>2678</v>
      </c>
      <c r="O976" s="18" t="s">
        <v>1092</v>
      </c>
      <c r="P976" s="18" t="s">
        <v>1092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>
      <c r="A977" s="16">
        <v>46099</v>
      </c>
      <c r="B977" s="16">
        <v>46125</v>
      </c>
      <c r="C977" s="21" t="s">
        <v>1131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1196</v>
      </c>
      <c r="K977" s="18">
        <v>9826568</v>
      </c>
      <c r="L977" s="18">
        <v>906877</v>
      </c>
      <c r="M977" s="18" t="s">
        <v>2672</v>
      </c>
      <c r="N977" s="16" t="s">
        <v>2613</v>
      </c>
      <c r="O977" s="18" t="s">
        <v>2673</v>
      </c>
      <c r="P977" s="18" t="s">
        <v>2613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1196</v>
      </c>
      <c r="K978" s="18">
        <v>9817222</v>
      </c>
      <c r="L978" s="18">
        <v>9816495</v>
      </c>
      <c r="M978" s="18" t="s">
        <v>1092</v>
      </c>
      <c r="N978" s="16" t="s">
        <v>1092</v>
      </c>
      <c r="O978" s="18" t="s">
        <v>1092</v>
      </c>
      <c r="P978" s="18" t="s">
        <v>1092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1196</v>
      </c>
      <c r="K979" s="18">
        <v>9817221</v>
      </c>
      <c r="L979" s="18">
        <v>9816495</v>
      </c>
      <c r="M979" s="18" t="s">
        <v>1092</v>
      </c>
      <c r="N979" s="16" t="s">
        <v>1092</v>
      </c>
      <c r="O979" s="18" t="s">
        <v>1092</v>
      </c>
      <c r="P979" s="18" t="s">
        <v>1092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1196</v>
      </c>
      <c r="K980" s="18">
        <v>9817225</v>
      </c>
      <c r="L980" s="18">
        <v>9816495</v>
      </c>
      <c r="M980" s="18" t="s">
        <v>1092</v>
      </c>
      <c r="N980" s="16" t="s">
        <v>1092</v>
      </c>
      <c r="O980" s="18" t="s">
        <v>1092</v>
      </c>
      <c r="P980" s="18" t="s">
        <v>1092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1749</v>
      </c>
      <c r="G981" s="22">
        <v>3375</v>
      </c>
      <c r="H981" s="22"/>
      <c r="I981" s="22">
        <f t="shared" si="16"/>
        <v>3375</v>
      </c>
      <c r="J981" s="18" t="s">
        <v>1262</v>
      </c>
      <c r="K981" s="18">
        <v>9814130</v>
      </c>
      <c r="L981" s="18">
        <v>900555</v>
      </c>
      <c r="M981" s="18" t="s">
        <v>2679</v>
      </c>
      <c r="N981" s="16" t="s">
        <v>2532</v>
      </c>
      <c r="O981" s="18" t="s">
        <v>2680</v>
      </c>
      <c r="P981" s="18" t="s">
        <v>2302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2618</v>
      </c>
      <c r="G982" s="22">
        <v>1852.2</v>
      </c>
      <c r="H982" s="22"/>
      <c r="I982" s="22">
        <f t="shared" si="16"/>
        <v>1852.2</v>
      </c>
      <c r="J982" s="18" t="s">
        <v>1262</v>
      </c>
      <c r="K982" s="18">
        <v>9814129</v>
      </c>
      <c r="L982" s="18">
        <v>900555</v>
      </c>
      <c r="M982" s="18" t="s">
        <v>2679</v>
      </c>
      <c r="N982" s="16" t="s">
        <v>2532</v>
      </c>
      <c r="O982" s="18" t="s">
        <v>2680</v>
      </c>
      <c r="P982" s="18" t="s">
        <v>2302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2681</v>
      </c>
      <c r="G983" s="22">
        <v>1800</v>
      </c>
      <c r="H983" s="22"/>
      <c r="I983" s="22">
        <f t="shared" si="16"/>
        <v>1800</v>
      </c>
      <c r="J983" s="18" t="s">
        <v>1262</v>
      </c>
      <c r="K983" s="18">
        <v>9814220</v>
      </c>
      <c r="L983" s="18">
        <v>900555</v>
      </c>
      <c r="M983" s="18" t="s">
        <v>2679</v>
      </c>
      <c r="N983" s="16" t="s">
        <v>2532</v>
      </c>
      <c r="O983" s="18" t="s">
        <v>2680</v>
      </c>
      <c r="P983" s="18" t="s">
        <v>2302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2682</v>
      </c>
      <c r="G984" s="22">
        <v>1765.08</v>
      </c>
      <c r="H984" s="22"/>
      <c r="I984" s="22">
        <f t="shared" si="16"/>
        <v>1765.08</v>
      </c>
      <c r="J984" s="18" t="s">
        <v>1262</v>
      </c>
      <c r="K984" s="18">
        <v>9814137</v>
      </c>
      <c r="L984" s="18">
        <v>900555</v>
      </c>
      <c r="M984" s="18" t="s">
        <v>2679</v>
      </c>
      <c r="N984" s="16" t="s">
        <v>2532</v>
      </c>
      <c r="O984" s="18" t="s">
        <v>2680</v>
      </c>
      <c r="P984" s="18" t="s">
        <v>2302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2683</v>
      </c>
      <c r="G985" s="22">
        <v>1575</v>
      </c>
      <c r="H985" s="22"/>
      <c r="I985" s="22">
        <f t="shared" si="16"/>
        <v>1575</v>
      </c>
      <c r="J985" s="18" t="s">
        <v>1262</v>
      </c>
      <c r="K985" s="18">
        <v>9814134</v>
      </c>
      <c r="L985" s="18">
        <v>900555</v>
      </c>
      <c r="M985" s="18" t="s">
        <v>2679</v>
      </c>
      <c r="N985" s="16" t="s">
        <v>2532</v>
      </c>
      <c r="O985" s="18" t="s">
        <v>2680</v>
      </c>
      <c r="P985" s="18" t="s">
        <v>2302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2684</v>
      </c>
      <c r="G986" s="22">
        <v>1575</v>
      </c>
      <c r="H986" s="22"/>
      <c r="I986" s="22">
        <f t="shared" si="16"/>
        <v>1575</v>
      </c>
      <c r="J986" s="18" t="s">
        <v>1262</v>
      </c>
      <c r="K986" s="18">
        <v>9814139</v>
      </c>
      <c r="L986" s="18">
        <v>900555</v>
      </c>
      <c r="M986" s="18" t="s">
        <v>2679</v>
      </c>
      <c r="N986" s="16" t="s">
        <v>2532</v>
      </c>
      <c r="O986" s="18" t="s">
        <v>2680</v>
      </c>
      <c r="P986" s="18" t="s">
        <v>2302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2685</v>
      </c>
      <c r="G987" s="22">
        <v>1125</v>
      </c>
      <c r="H987" s="22"/>
      <c r="I987" s="22">
        <f t="shared" si="16"/>
        <v>1125</v>
      </c>
      <c r="J987" s="18" t="s">
        <v>1262</v>
      </c>
      <c r="K987" s="18">
        <v>9814223</v>
      </c>
      <c r="L987" s="18">
        <v>900555</v>
      </c>
      <c r="M987" s="18" t="s">
        <v>2679</v>
      </c>
      <c r="N987" s="16" t="s">
        <v>2532</v>
      </c>
      <c r="O987" s="18" t="s">
        <v>2680</v>
      </c>
      <c r="P987" s="18" t="s">
        <v>2302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2164</v>
      </c>
      <c r="G988" s="22">
        <v>945.36</v>
      </c>
      <c r="H988" s="22"/>
      <c r="I988" s="22">
        <f t="shared" si="16"/>
        <v>945.36</v>
      </c>
      <c r="J988" s="18" t="s">
        <v>1262</v>
      </c>
      <c r="K988" s="18">
        <v>9814222</v>
      </c>
      <c r="L988" s="18">
        <v>900555</v>
      </c>
      <c r="M988" s="18" t="s">
        <v>2679</v>
      </c>
      <c r="N988" s="16" t="s">
        <v>2532</v>
      </c>
      <c r="O988" s="18" t="s">
        <v>2680</v>
      </c>
      <c r="P988" s="18" t="s">
        <v>2302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2686</v>
      </c>
      <c r="G989" s="22">
        <v>750</v>
      </c>
      <c r="H989" s="22"/>
      <c r="I989" s="22">
        <f t="shared" si="16"/>
        <v>750</v>
      </c>
      <c r="J989" s="18" t="s">
        <v>1262</v>
      </c>
      <c r="K989" s="18">
        <v>9814133</v>
      </c>
      <c r="L989" s="18">
        <v>900555</v>
      </c>
      <c r="M989" s="18" t="s">
        <v>2679</v>
      </c>
      <c r="N989" s="16" t="s">
        <v>2532</v>
      </c>
      <c r="O989" s="18" t="s">
        <v>2680</v>
      </c>
      <c r="P989" s="18" t="s">
        <v>2302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2162</v>
      </c>
      <c r="G990" s="22">
        <v>746.28</v>
      </c>
      <c r="H990" s="22"/>
      <c r="I990" s="22">
        <f t="shared" si="16"/>
        <v>746.28</v>
      </c>
      <c r="J990" s="18" t="s">
        <v>1262</v>
      </c>
      <c r="K990" s="18">
        <v>9814132</v>
      </c>
      <c r="L990" s="18">
        <v>900555</v>
      </c>
      <c r="M990" s="18" t="s">
        <v>2679</v>
      </c>
      <c r="N990" s="16" t="s">
        <v>2532</v>
      </c>
      <c r="O990" s="18" t="s">
        <v>2680</v>
      </c>
      <c r="P990" s="18" t="s">
        <v>2302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2168</v>
      </c>
      <c r="G991" s="22">
        <v>640.79999999999995</v>
      </c>
      <c r="H991" s="22"/>
      <c r="I991" s="22">
        <f t="shared" si="16"/>
        <v>640.79999999999995</v>
      </c>
      <c r="J991" s="18" t="s">
        <v>1262</v>
      </c>
      <c r="K991" s="18">
        <v>9814221</v>
      </c>
      <c r="L991" s="18">
        <v>900555</v>
      </c>
      <c r="M991" s="18" t="s">
        <v>2679</v>
      </c>
      <c r="N991" s="16" t="s">
        <v>2532</v>
      </c>
      <c r="O991" s="18" t="s">
        <v>2680</v>
      </c>
      <c r="P991" s="18" t="s">
        <v>2302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2687</v>
      </c>
      <c r="G992" s="22">
        <v>574.79999999999995</v>
      </c>
      <c r="H992" s="22"/>
      <c r="I992" s="22">
        <f t="shared" si="16"/>
        <v>574.79999999999995</v>
      </c>
      <c r="J992" s="18" t="s">
        <v>1262</v>
      </c>
      <c r="K992" s="18">
        <v>9814135</v>
      </c>
      <c r="L992" s="18">
        <v>900555</v>
      </c>
      <c r="M992" s="18" t="s">
        <v>2679</v>
      </c>
      <c r="N992" s="16" t="s">
        <v>2532</v>
      </c>
      <c r="O992" s="18" t="s">
        <v>2680</v>
      </c>
      <c r="P992" s="18" t="s">
        <v>2302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1196</v>
      </c>
      <c r="K993" s="18">
        <v>9813922</v>
      </c>
      <c r="L993" s="18">
        <v>900433</v>
      </c>
      <c r="M993" s="18" t="s">
        <v>2688</v>
      </c>
      <c r="N993" s="16" t="s">
        <v>2532</v>
      </c>
      <c r="O993" s="18" t="s">
        <v>2689</v>
      </c>
      <c r="P993" s="18" t="s">
        <v>2534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1254</v>
      </c>
      <c r="K994" s="18">
        <v>5020194</v>
      </c>
      <c r="L994" s="18" t="s">
        <v>1092</v>
      </c>
      <c r="M994" s="18" t="s">
        <v>1092</v>
      </c>
      <c r="N994" s="16" t="s">
        <v>1092</v>
      </c>
      <c r="O994" s="18" t="s">
        <v>1092</v>
      </c>
      <c r="P994" s="18" t="s">
        <v>1092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1196</v>
      </c>
      <c r="K995" s="18">
        <v>903121</v>
      </c>
      <c r="L995" s="18">
        <v>5020151</v>
      </c>
      <c r="M995" s="18" t="s">
        <v>2690</v>
      </c>
      <c r="N995" s="16" t="s">
        <v>2534</v>
      </c>
      <c r="O995" s="18" t="s">
        <v>1404</v>
      </c>
      <c r="P995" s="18" t="s">
        <v>2589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1262</v>
      </c>
      <c r="K996" s="18">
        <v>5020322</v>
      </c>
      <c r="L996" s="18">
        <v>915429</v>
      </c>
      <c r="M996" s="18" t="s">
        <v>2691</v>
      </c>
      <c r="N996" s="16" t="s">
        <v>2575</v>
      </c>
      <c r="O996" s="18" t="s">
        <v>2692</v>
      </c>
      <c r="P996" s="18" t="s">
        <v>2693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1262</v>
      </c>
      <c r="K997" s="18">
        <v>9814148</v>
      </c>
      <c r="L997" s="18">
        <v>903082</v>
      </c>
      <c r="M997" s="18" t="s">
        <v>2694</v>
      </c>
      <c r="N997" s="16" t="s">
        <v>2534</v>
      </c>
      <c r="O997" s="18" t="s">
        <v>2695</v>
      </c>
      <c r="P997" s="18" t="s">
        <v>2591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1262</v>
      </c>
      <c r="K998" s="18">
        <v>9814144</v>
      </c>
      <c r="L998" s="18">
        <v>903092</v>
      </c>
      <c r="M998" s="18" t="s">
        <v>2696</v>
      </c>
      <c r="N998" s="16" t="s">
        <v>2534</v>
      </c>
      <c r="O998" s="18" t="s">
        <v>2697</v>
      </c>
      <c r="P998" s="18" t="s">
        <v>2591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1262</v>
      </c>
      <c r="K999" s="18">
        <v>9814140</v>
      </c>
      <c r="L999" s="18">
        <v>903140</v>
      </c>
      <c r="M999" s="18" t="s">
        <v>2698</v>
      </c>
      <c r="N999" s="16" t="s">
        <v>2534</v>
      </c>
      <c r="O999" s="18" t="s">
        <v>2699</v>
      </c>
      <c r="P999" s="18" t="s">
        <v>2700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1262</v>
      </c>
      <c r="K1000" s="18">
        <v>9815978</v>
      </c>
      <c r="L1000" s="18">
        <v>912378</v>
      </c>
      <c r="M1000" s="18" t="s">
        <v>2701</v>
      </c>
      <c r="N1000" s="16" t="s">
        <v>2548</v>
      </c>
      <c r="O1000" s="18" t="s">
        <v>2702</v>
      </c>
      <c r="P1000" s="18" t="s">
        <v>2550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1110</v>
      </c>
      <c r="K1001" s="18" t="s">
        <v>1092</v>
      </c>
      <c r="L1001" s="18" t="s">
        <v>1092</v>
      </c>
      <c r="M1001" s="18" t="s">
        <v>1092</v>
      </c>
      <c r="N1001" s="16" t="s">
        <v>1092</v>
      </c>
      <c r="O1001" s="18" t="s">
        <v>1092</v>
      </c>
      <c r="P1001" s="18" t="s">
        <v>1092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1110</v>
      </c>
      <c r="K1002" s="18" t="s">
        <v>1092</v>
      </c>
      <c r="L1002" s="18" t="s">
        <v>1092</v>
      </c>
      <c r="M1002" s="18" t="s">
        <v>1092</v>
      </c>
      <c r="N1002" s="16" t="s">
        <v>1092</v>
      </c>
      <c r="O1002" s="18" t="s">
        <v>1092</v>
      </c>
      <c r="P1002" s="18" t="s">
        <v>1092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1110</v>
      </c>
      <c r="K1003" s="18">
        <v>9815877</v>
      </c>
      <c r="L1003" s="18">
        <v>912367</v>
      </c>
      <c r="M1003" s="18" t="s">
        <v>2703</v>
      </c>
      <c r="N1003" s="16" t="s">
        <v>2548</v>
      </c>
      <c r="O1003" s="18" t="s">
        <v>2704</v>
      </c>
      <c r="P1003" s="18" t="s">
        <v>2550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1262</v>
      </c>
      <c r="K1004" s="18">
        <v>9815978</v>
      </c>
      <c r="L1004" s="18">
        <v>912378</v>
      </c>
      <c r="M1004" s="18" t="s">
        <v>2705</v>
      </c>
      <c r="N1004" s="16" t="s">
        <v>2548</v>
      </c>
      <c r="O1004" s="18" t="s">
        <v>2706</v>
      </c>
      <c r="P1004" s="18" t="s">
        <v>1523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1110</v>
      </c>
      <c r="K1005" s="18">
        <v>9815877</v>
      </c>
      <c r="L1005" s="18">
        <v>912367</v>
      </c>
      <c r="M1005" s="18" t="s">
        <v>2707</v>
      </c>
      <c r="N1005" s="16" t="s">
        <v>2548</v>
      </c>
      <c r="O1005" s="18" t="s">
        <v>2474</v>
      </c>
      <c r="P1005" s="18" t="s">
        <v>1523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>
      <c r="A1006" s="16">
        <v>46099</v>
      </c>
      <c r="B1006" s="16">
        <v>46119</v>
      </c>
      <c r="C1006" s="21" t="s">
        <v>1131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1196</v>
      </c>
      <c r="K1006" s="18">
        <v>9814031</v>
      </c>
      <c r="L1006" s="18">
        <v>896798</v>
      </c>
      <c r="M1006" s="18" t="s">
        <v>2708</v>
      </c>
      <c r="N1006" s="16" t="s">
        <v>2534</v>
      </c>
      <c r="O1006" s="18" t="s">
        <v>2709</v>
      </c>
      <c r="P1006" s="18" t="s">
        <v>2710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1196</v>
      </c>
      <c r="K1007" s="18">
        <v>9814784</v>
      </c>
      <c r="L1007" s="18">
        <v>903292</v>
      </c>
      <c r="M1007" s="18" t="s">
        <v>2711</v>
      </c>
      <c r="N1007" s="16" t="s">
        <v>2589</v>
      </c>
      <c r="O1007" s="18" t="s">
        <v>2712</v>
      </c>
      <c r="P1007" s="18" t="s">
        <v>2710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1196</v>
      </c>
      <c r="K1008" s="18">
        <v>9814643</v>
      </c>
      <c r="L1008" s="18">
        <v>903492</v>
      </c>
      <c r="M1008" s="18" t="s">
        <v>2713</v>
      </c>
      <c r="N1008" s="16" t="s">
        <v>2534</v>
      </c>
      <c r="O1008" s="18" t="s">
        <v>2714</v>
      </c>
      <c r="P1008" s="18" t="s">
        <v>2589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>
      <c r="A1009" s="16">
        <v>46099</v>
      </c>
      <c r="B1009" s="16">
        <v>46120</v>
      </c>
      <c r="C1009" s="21" t="s">
        <v>1131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2168</v>
      </c>
      <c r="G1009" s="22">
        <v>7197</v>
      </c>
      <c r="H1009" s="22"/>
      <c r="I1009" s="22">
        <f t="shared" si="16"/>
        <v>7197</v>
      </c>
      <c r="J1009" s="18" t="s">
        <v>1110</v>
      </c>
      <c r="K1009" s="18">
        <v>5020193</v>
      </c>
      <c r="L1009" s="18">
        <v>903953</v>
      </c>
      <c r="M1009" s="18" t="s">
        <v>2715</v>
      </c>
      <c r="N1009" s="16" t="s">
        <v>2501</v>
      </c>
      <c r="O1009" s="18" t="s">
        <v>1755</v>
      </c>
      <c r="P1009" s="18" t="s">
        <v>2501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1131</v>
      </c>
      <c r="G1010" s="22">
        <v>7366.4</v>
      </c>
      <c r="H1010" s="22"/>
      <c r="I1010" s="22">
        <f t="shared" si="16"/>
        <v>7366.4</v>
      </c>
      <c r="J1010" s="18" t="s">
        <v>2461</v>
      </c>
      <c r="K1010" s="18">
        <v>9813920</v>
      </c>
      <c r="L1010" s="18">
        <v>900436</v>
      </c>
      <c r="M1010" s="18" t="s">
        <v>2716</v>
      </c>
      <c r="N1010" s="16" t="s">
        <v>2532</v>
      </c>
      <c r="O1010" s="18" t="s">
        <v>2166</v>
      </c>
      <c r="P1010" s="18" t="s">
        <v>2579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1262</v>
      </c>
      <c r="K1011" s="18">
        <v>9814525</v>
      </c>
      <c r="L1011" s="18">
        <v>903502</v>
      </c>
      <c r="M1011" s="18" t="s">
        <v>2717</v>
      </c>
      <c r="N1011" s="16" t="s">
        <v>2589</v>
      </c>
      <c r="O1011" s="18" t="s">
        <v>2718</v>
      </c>
      <c r="P1011" s="18" t="s">
        <v>2719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1131</v>
      </c>
      <c r="G1012" s="22">
        <v>980</v>
      </c>
      <c r="H1012" s="22"/>
      <c r="I1012" s="22">
        <f t="shared" si="16"/>
        <v>980</v>
      </c>
      <c r="J1012" s="18" t="s">
        <v>1196</v>
      </c>
      <c r="K1012" s="18">
        <v>9814054</v>
      </c>
      <c r="L1012" s="18" t="s">
        <v>1092</v>
      </c>
      <c r="M1012" s="18" t="s">
        <v>1092</v>
      </c>
      <c r="N1012" s="16" t="s">
        <v>1092</v>
      </c>
      <c r="O1012" s="18" t="s">
        <v>1092</v>
      </c>
      <c r="P1012" s="18" t="s">
        <v>1092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1196</v>
      </c>
      <c r="K1013" s="18">
        <v>9814063</v>
      </c>
      <c r="L1013" s="18">
        <v>900524</v>
      </c>
      <c r="M1013" s="18" t="s">
        <v>2720</v>
      </c>
      <c r="N1013" s="16" t="s">
        <v>2532</v>
      </c>
      <c r="O1013" s="18" t="s">
        <v>2673</v>
      </c>
      <c r="P1013" s="18" t="s">
        <v>2302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1248</v>
      </c>
      <c r="K1014" s="18" t="s">
        <v>1092</v>
      </c>
      <c r="L1014" s="18" t="s">
        <v>1092</v>
      </c>
      <c r="M1014" s="18" t="s">
        <v>1092</v>
      </c>
      <c r="N1014" s="16" t="s">
        <v>1092</v>
      </c>
      <c r="O1014" s="18" t="s">
        <v>1092</v>
      </c>
      <c r="P1014" s="18" t="s">
        <v>1092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1248</v>
      </c>
      <c r="K1015" s="18" t="s">
        <v>1092</v>
      </c>
      <c r="L1015" s="18" t="s">
        <v>1092</v>
      </c>
      <c r="M1015" s="18" t="s">
        <v>1092</v>
      </c>
      <c r="N1015" s="16" t="s">
        <v>1092</v>
      </c>
      <c r="O1015" s="18" t="s">
        <v>1092</v>
      </c>
      <c r="P1015" s="18" t="s">
        <v>1092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1248</v>
      </c>
      <c r="K1016" s="18" t="s">
        <v>1092</v>
      </c>
      <c r="L1016" s="18" t="s">
        <v>1092</v>
      </c>
      <c r="M1016" s="18" t="s">
        <v>1092</v>
      </c>
      <c r="N1016" s="16" t="s">
        <v>1092</v>
      </c>
      <c r="O1016" s="18" t="s">
        <v>1092</v>
      </c>
      <c r="P1016" s="18" t="s">
        <v>1092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1196</v>
      </c>
      <c r="K1017" s="18">
        <v>9825419</v>
      </c>
      <c r="L1017" s="18" t="s">
        <v>2721</v>
      </c>
      <c r="M1017" s="18" t="s">
        <v>2722</v>
      </c>
      <c r="N1017" s="16">
        <v>46122</v>
      </c>
      <c r="O1017" s="18" t="s">
        <v>1092</v>
      </c>
      <c r="P1017" s="18" t="s">
        <v>1092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1196</v>
      </c>
      <c r="K1018" s="18">
        <v>9826791</v>
      </c>
      <c r="L1018" s="18" t="s">
        <v>1131</v>
      </c>
      <c r="M1018" s="18" t="s">
        <v>1092</v>
      </c>
      <c r="N1018" s="16" t="s">
        <v>1092</v>
      </c>
      <c r="O1018" s="18" t="s">
        <v>1092</v>
      </c>
      <c r="P1018" s="18" t="s">
        <v>1092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>
      <c r="A1019" s="16">
        <v>46099</v>
      </c>
      <c r="B1019" s="16">
        <v>46119</v>
      </c>
      <c r="C1019" s="21" t="s">
        <v>1131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1196</v>
      </c>
      <c r="K1019" s="18">
        <v>9822822</v>
      </c>
      <c r="L1019" s="18" t="s">
        <v>1092</v>
      </c>
      <c r="M1019" s="18" t="s">
        <v>1092</v>
      </c>
      <c r="N1019" s="16" t="s">
        <v>1092</v>
      </c>
      <c r="O1019" s="18" t="s">
        <v>1092</v>
      </c>
      <c r="P1019" s="18" t="s">
        <v>1092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>
      <c r="A1020" s="16">
        <v>46099</v>
      </c>
      <c r="B1020" s="16" t="s">
        <v>1092</v>
      </c>
      <c r="C1020" s="21" t="s">
        <v>1092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1196</v>
      </c>
      <c r="K1020" s="18" t="s">
        <v>1092</v>
      </c>
      <c r="L1020" s="18" t="s">
        <v>1092</v>
      </c>
      <c r="M1020" s="18" t="s">
        <v>1092</v>
      </c>
      <c r="N1020" s="16" t="s">
        <v>1092</v>
      </c>
      <c r="O1020" s="18" t="s">
        <v>1092</v>
      </c>
      <c r="P1020" s="18" t="s">
        <v>1092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2723</v>
      </c>
    </row>
    <row r="1021" spans="1:18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1196</v>
      </c>
      <c r="K1021" s="18">
        <v>9813912</v>
      </c>
      <c r="L1021" s="18">
        <v>896549</v>
      </c>
      <c r="M1021" s="18" t="s">
        <v>2724</v>
      </c>
      <c r="N1021" s="16" t="s">
        <v>2589</v>
      </c>
      <c r="O1021" s="18" t="s">
        <v>2725</v>
      </c>
      <c r="P1021" s="18" t="s">
        <v>2650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1196</v>
      </c>
      <c r="K1022" s="18">
        <v>9814027</v>
      </c>
      <c r="L1022" s="18">
        <v>903288</v>
      </c>
      <c r="M1022" s="18" t="s">
        <v>2726</v>
      </c>
      <c r="N1022" s="16" t="s">
        <v>2534</v>
      </c>
      <c r="O1022" s="18" t="s">
        <v>2727</v>
      </c>
      <c r="P1022" s="18" t="s">
        <v>2591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1196</v>
      </c>
      <c r="K1023" s="18">
        <v>9813998</v>
      </c>
      <c r="L1023" s="18">
        <v>903409</v>
      </c>
      <c r="M1023" s="18" t="s">
        <v>2728</v>
      </c>
      <c r="N1023" s="16" t="s">
        <v>2534</v>
      </c>
      <c r="O1023" s="18" t="s">
        <v>2729</v>
      </c>
      <c r="P1023" s="18" t="s">
        <v>2591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2730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1262</v>
      </c>
      <c r="K1024" s="18">
        <v>9814096</v>
      </c>
      <c r="L1024" s="18">
        <v>906988</v>
      </c>
      <c r="M1024" s="18" t="s">
        <v>2731</v>
      </c>
      <c r="N1024" s="16" t="s">
        <v>2637</v>
      </c>
      <c r="O1024" s="18" t="s">
        <v>2732</v>
      </c>
      <c r="P1024" s="18" t="s">
        <v>2639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1196</v>
      </c>
      <c r="K1025" s="18">
        <v>9814030</v>
      </c>
      <c r="L1025" s="18">
        <v>903255</v>
      </c>
      <c r="M1025" s="18" t="s">
        <v>2733</v>
      </c>
      <c r="N1025" s="16" t="s">
        <v>2534</v>
      </c>
      <c r="O1025" s="18" t="s">
        <v>2734</v>
      </c>
      <c r="P1025" s="18" t="s">
        <v>2581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>
      <c r="A1026" s="16">
        <v>46099</v>
      </c>
      <c r="B1026" s="16">
        <v>46119</v>
      </c>
      <c r="C1026" s="21" t="s">
        <v>1131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2735</v>
      </c>
      <c r="G1026" s="22">
        <v>49.28</v>
      </c>
      <c r="H1026" s="22">
        <v>4568.67</v>
      </c>
      <c r="I1026" s="22">
        <f t="shared" si="17"/>
        <v>4617.95</v>
      </c>
      <c r="J1026" s="18" t="s">
        <v>1196</v>
      </c>
      <c r="K1026" s="18">
        <v>9814619</v>
      </c>
      <c r="L1026" s="18">
        <v>903501</v>
      </c>
      <c r="M1026" s="18" t="s">
        <v>2736</v>
      </c>
      <c r="N1026" s="16" t="s">
        <v>2589</v>
      </c>
      <c r="O1026" s="18" t="s">
        <v>2737</v>
      </c>
      <c r="P1026" s="18" t="s">
        <v>2738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1305</v>
      </c>
      <c r="G1027" s="22">
        <v>12625</v>
      </c>
      <c r="H1027" s="22"/>
      <c r="I1027" s="22">
        <f t="shared" si="17"/>
        <v>12625</v>
      </c>
      <c r="J1027" s="18" t="s">
        <v>1110</v>
      </c>
      <c r="K1027" s="18">
        <v>5020196</v>
      </c>
      <c r="L1027" s="18">
        <v>905372</v>
      </c>
      <c r="M1027" s="18" t="s">
        <v>2739</v>
      </c>
      <c r="N1027" s="16" t="s">
        <v>2579</v>
      </c>
      <c r="O1027" s="18" t="s">
        <v>1406</v>
      </c>
      <c r="P1027" s="18" t="s">
        <v>2613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>
      <c r="A1028" s="16">
        <v>46099</v>
      </c>
      <c r="B1028" s="16">
        <v>46119</v>
      </c>
      <c r="C1028" s="21" t="s">
        <v>1131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1307</v>
      </c>
      <c r="G1028" s="22">
        <v>6897</v>
      </c>
      <c r="H1028" s="22"/>
      <c r="I1028" s="22">
        <f t="shared" si="17"/>
        <v>6897</v>
      </c>
      <c r="J1028" s="18" t="s">
        <v>1110</v>
      </c>
      <c r="K1028" s="18">
        <v>5020197</v>
      </c>
      <c r="L1028" s="18">
        <v>903560</v>
      </c>
      <c r="M1028" s="18" t="s">
        <v>2740</v>
      </c>
      <c r="N1028" s="16" t="s">
        <v>2589</v>
      </c>
      <c r="O1028" s="18" t="s">
        <v>2481</v>
      </c>
      <c r="P1028" s="18" t="s">
        <v>2501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>
      <c r="A1029" s="16">
        <v>46099</v>
      </c>
      <c r="B1029" s="16">
        <v>46119</v>
      </c>
      <c r="C1029" s="21" t="s">
        <v>1131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1303</v>
      </c>
      <c r="G1029" s="22">
        <v>2129</v>
      </c>
      <c r="H1029" s="22"/>
      <c r="I1029" s="22">
        <f t="shared" si="17"/>
        <v>2129</v>
      </c>
      <c r="J1029" s="18" t="s">
        <v>1110</v>
      </c>
      <c r="K1029" s="18">
        <v>5020195</v>
      </c>
      <c r="L1029" s="18">
        <v>903560</v>
      </c>
      <c r="M1029" s="18" t="s">
        <v>2740</v>
      </c>
      <c r="N1029" s="16" t="s">
        <v>2589</v>
      </c>
      <c r="O1029" s="18" t="s">
        <v>2481</v>
      </c>
      <c r="P1029" s="18" t="s">
        <v>2501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2741</v>
      </c>
      <c r="G1030" s="22">
        <v>17212.5</v>
      </c>
      <c r="H1030" s="22"/>
      <c r="I1030" s="22">
        <f t="shared" si="17"/>
        <v>17212.5</v>
      </c>
      <c r="J1030" s="18" t="s">
        <v>1196</v>
      </c>
      <c r="K1030" s="18">
        <v>9804522</v>
      </c>
      <c r="L1030" s="18">
        <v>891916</v>
      </c>
      <c r="M1030" s="18" t="s">
        <v>2742</v>
      </c>
      <c r="N1030" s="16" t="s">
        <v>2743</v>
      </c>
      <c r="O1030" s="18" t="s">
        <v>1344</v>
      </c>
      <c r="P1030" s="18" t="s">
        <v>2304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2681</v>
      </c>
      <c r="G1031" s="22">
        <v>3000</v>
      </c>
      <c r="H1031" s="22"/>
      <c r="I1031" s="22">
        <f t="shared" si="17"/>
        <v>3000</v>
      </c>
      <c r="J1031" s="18" t="s">
        <v>1196</v>
      </c>
      <c r="K1031" s="18">
        <v>9804277</v>
      </c>
      <c r="L1031" s="18">
        <v>891916</v>
      </c>
      <c r="M1031" s="18" t="s">
        <v>2742</v>
      </c>
      <c r="N1031" s="16" t="s">
        <v>2743</v>
      </c>
      <c r="O1031" s="18" t="s">
        <v>1344</v>
      </c>
      <c r="P1031" s="18" t="s">
        <v>2304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2744</v>
      </c>
      <c r="G1032" s="22">
        <v>3000</v>
      </c>
      <c r="H1032" s="22"/>
      <c r="I1032" s="22">
        <f t="shared" si="17"/>
        <v>3000</v>
      </c>
      <c r="J1032" s="18" t="s">
        <v>1196</v>
      </c>
      <c r="K1032" s="18">
        <v>9804276</v>
      </c>
      <c r="L1032" s="18">
        <v>891916</v>
      </c>
      <c r="M1032" s="18" t="s">
        <v>2742</v>
      </c>
      <c r="N1032" s="16" t="s">
        <v>2743</v>
      </c>
      <c r="O1032" s="18" t="s">
        <v>1344</v>
      </c>
      <c r="P1032" s="18" t="s">
        <v>2304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2685</v>
      </c>
      <c r="G1033" s="22">
        <v>3000</v>
      </c>
      <c r="H1033" s="22"/>
      <c r="I1033" s="22">
        <f t="shared" si="17"/>
        <v>3000</v>
      </c>
      <c r="J1033" s="18" t="s">
        <v>1196</v>
      </c>
      <c r="K1033" s="18">
        <v>9804275</v>
      </c>
      <c r="L1033" s="18">
        <v>891916</v>
      </c>
      <c r="M1033" s="18" t="s">
        <v>2742</v>
      </c>
      <c r="N1033" s="16" t="s">
        <v>2743</v>
      </c>
      <c r="O1033" s="18" t="s">
        <v>1344</v>
      </c>
      <c r="P1033" s="18" t="s">
        <v>2304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1378</v>
      </c>
      <c r="G1034" s="22">
        <v>3000</v>
      </c>
      <c r="H1034" s="22"/>
      <c r="I1034" s="22">
        <f t="shared" si="17"/>
        <v>3000</v>
      </c>
      <c r="J1034" s="18" t="s">
        <v>1196</v>
      </c>
      <c r="K1034" s="18">
        <v>9804274</v>
      </c>
      <c r="L1034" s="18">
        <v>891916</v>
      </c>
      <c r="M1034" s="18" t="s">
        <v>2742</v>
      </c>
      <c r="N1034" s="16" t="s">
        <v>2743</v>
      </c>
      <c r="O1034" s="18" t="s">
        <v>1344</v>
      </c>
      <c r="P1034" s="18" t="s">
        <v>2304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1555</v>
      </c>
      <c r="G1035" s="22">
        <v>1071.22</v>
      </c>
      <c r="H1035" s="22"/>
      <c r="I1035" s="22">
        <f t="shared" si="17"/>
        <v>1071.22</v>
      </c>
      <c r="J1035" s="18" t="s">
        <v>1196</v>
      </c>
      <c r="K1035" s="18">
        <v>9804525</v>
      </c>
      <c r="L1035" s="18">
        <v>891916</v>
      </c>
      <c r="M1035" s="18" t="s">
        <v>2742</v>
      </c>
      <c r="N1035" s="16" t="s">
        <v>2743</v>
      </c>
      <c r="O1035" s="18" t="s">
        <v>1344</v>
      </c>
      <c r="P1035" s="18" t="s">
        <v>2304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2615</v>
      </c>
      <c r="G1036" s="22">
        <v>623.20000000000005</v>
      </c>
      <c r="H1036" s="22"/>
      <c r="I1036" s="22">
        <f t="shared" si="17"/>
        <v>623.20000000000005</v>
      </c>
      <c r="J1036" s="18" t="s">
        <v>1196</v>
      </c>
      <c r="K1036" s="18">
        <v>9804521</v>
      </c>
      <c r="L1036" s="18">
        <v>891916</v>
      </c>
      <c r="M1036" s="18" t="s">
        <v>2742</v>
      </c>
      <c r="N1036" s="16" t="s">
        <v>2743</v>
      </c>
      <c r="O1036" s="18" t="s">
        <v>1344</v>
      </c>
      <c r="P1036" s="18" t="s">
        <v>2304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2612</v>
      </c>
      <c r="G1037" s="22">
        <v>610</v>
      </c>
      <c r="H1037" s="22"/>
      <c r="I1037" s="22">
        <f t="shared" si="17"/>
        <v>610</v>
      </c>
      <c r="J1037" s="18" t="s">
        <v>1196</v>
      </c>
      <c r="K1037" s="18">
        <v>9804524</v>
      </c>
      <c r="L1037" s="18">
        <v>891916</v>
      </c>
      <c r="M1037" s="18" t="s">
        <v>2742</v>
      </c>
      <c r="N1037" s="16" t="s">
        <v>2743</v>
      </c>
      <c r="O1037" s="18" t="s">
        <v>1344</v>
      </c>
      <c r="P1037" s="18" t="s">
        <v>2304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1196</v>
      </c>
      <c r="K1038" s="18">
        <v>5020006</v>
      </c>
      <c r="L1038" s="18">
        <v>891648</v>
      </c>
      <c r="M1038" s="18" t="s">
        <v>2745</v>
      </c>
      <c r="N1038" s="16" t="s">
        <v>2496</v>
      </c>
      <c r="O1038" s="18" t="s">
        <v>2746</v>
      </c>
      <c r="P1038" s="18" t="s">
        <v>2587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1110</v>
      </c>
      <c r="K1039" s="18">
        <v>9804014</v>
      </c>
      <c r="L1039" s="18">
        <v>891575</v>
      </c>
      <c r="M1039" s="18" t="s">
        <v>2747</v>
      </c>
      <c r="N1039" s="16" t="s">
        <v>2496</v>
      </c>
      <c r="O1039" s="18" t="s">
        <v>1533</v>
      </c>
      <c r="P1039" s="18" t="s">
        <v>2496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1110</v>
      </c>
      <c r="K1040" s="18">
        <v>9804003</v>
      </c>
      <c r="L1040" s="18">
        <v>891575</v>
      </c>
      <c r="M1040" s="18" t="s">
        <v>2747</v>
      </c>
      <c r="N1040" s="16" t="s">
        <v>2496</v>
      </c>
      <c r="O1040" s="18" t="s">
        <v>1533</v>
      </c>
      <c r="P1040" s="18" t="s">
        <v>2496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>
      <c r="A1041" s="16">
        <v>46101</v>
      </c>
      <c r="B1041" s="16">
        <v>46101</v>
      </c>
      <c r="C1041" s="21" t="s">
        <v>2748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1110</v>
      </c>
      <c r="K1041" s="18" t="s">
        <v>2749</v>
      </c>
      <c r="L1041" s="18">
        <v>891575</v>
      </c>
      <c r="M1041" s="18" t="s">
        <v>2747</v>
      </c>
      <c r="N1041" s="16" t="s">
        <v>2496</v>
      </c>
      <c r="O1041" s="18" t="s">
        <v>1533</v>
      </c>
      <c r="P1041" s="18" t="s">
        <v>2496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1110</v>
      </c>
      <c r="K1042" s="18">
        <v>9804005</v>
      </c>
      <c r="L1042" s="18">
        <v>891575</v>
      </c>
      <c r="M1042" s="18" t="s">
        <v>2747</v>
      </c>
      <c r="N1042" s="16" t="s">
        <v>2496</v>
      </c>
      <c r="O1042" s="18" t="s">
        <v>1533</v>
      </c>
      <c r="P1042" s="18" t="s">
        <v>2496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1196</v>
      </c>
      <c r="K1043" s="18">
        <v>9804002</v>
      </c>
      <c r="L1043" s="18">
        <v>891575</v>
      </c>
      <c r="M1043" s="18" t="s">
        <v>2747</v>
      </c>
      <c r="N1043" s="16" t="s">
        <v>2496</v>
      </c>
      <c r="O1043" s="18" t="s">
        <v>1533</v>
      </c>
      <c r="P1043" s="18" t="s">
        <v>2496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1196</v>
      </c>
      <c r="K1044" s="18">
        <v>9804001</v>
      </c>
      <c r="L1044" s="18">
        <v>891575</v>
      </c>
      <c r="M1044" s="18" t="s">
        <v>2747</v>
      </c>
      <c r="N1044" s="16" t="s">
        <v>2496</v>
      </c>
      <c r="O1044" s="18" t="s">
        <v>1533</v>
      </c>
      <c r="P1044" s="18" t="s">
        <v>2496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1110</v>
      </c>
      <c r="K1045" s="18">
        <v>9804000</v>
      </c>
      <c r="L1045" s="18">
        <v>891575</v>
      </c>
      <c r="M1045" s="18" t="s">
        <v>2747</v>
      </c>
      <c r="N1045" s="16" t="s">
        <v>2496</v>
      </c>
      <c r="O1045" s="18" t="s">
        <v>1533</v>
      </c>
      <c r="P1045" s="18" t="s">
        <v>2496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2618</v>
      </c>
      <c r="G1046" s="22">
        <v>887.6</v>
      </c>
      <c r="H1046" s="22"/>
      <c r="I1046" s="22">
        <f t="shared" si="17"/>
        <v>887.6</v>
      </c>
      <c r="J1046" s="18" t="s">
        <v>1196</v>
      </c>
      <c r="K1046" s="18">
        <v>9804520</v>
      </c>
      <c r="L1046" s="18">
        <v>891906</v>
      </c>
      <c r="M1046" s="18" t="s">
        <v>2750</v>
      </c>
      <c r="N1046" s="16" t="s">
        <v>2743</v>
      </c>
      <c r="O1046" s="18" t="s">
        <v>1535</v>
      </c>
      <c r="P1046" s="18" t="s">
        <v>2302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1749</v>
      </c>
      <c r="G1047" s="22">
        <v>871</v>
      </c>
      <c r="H1047" s="22"/>
      <c r="I1047" s="22">
        <f t="shared" si="17"/>
        <v>871</v>
      </c>
      <c r="J1047" s="18" t="s">
        <v>1196</v>
      </c>
      <c r="K1047" s="18">
        <v>9804279</v>
      </c>
      <c r="L1047" s="18">
        <v>891703</v>
      </c>
      <c r="M1047" s="18" t="s">
        <v>2751</v>
      </c>
      <c r="N1047" s="16" t="s">
        <v>2743</v>
      </c>
      <c r="O1047" s="18" t="s">
        <v>1533</v>
      </c>
      <c r="P1047" s="18" t="s">
        <v>2302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>
      <c r="A1048" s="16">
        <v>46104</v>
      </c>
      <c r="B1048" s="16">
        <v>46119</v>
      </c>
      <c r="C1048" s="21" t="s">
        <v>1131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1196</v>
      </c>
      <c r="K1048" s="18">
        <v>9814752</v>
      </c>
      <c r="L1048" s="18">
        <v>903371</v>
      </c>
      <c r="M1048" s="18" t="s">
        <v>2752</v>
      </c>
      <c r="N1048" s="16" t="s">
        <v>2534</v>
      </c>
      <c r="O1048" s="18" t="s">
        <v>2753</v>
      </c>
      <c r="P1048" s="18" t="s">
        <v>2581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>
      <c r="A1049" s="16">
        <v>46104</v>
      </c>
      <c r="B1049" s="16">
        <v>46119</v>
      </c>
      <c r="C1049" s="21" t="s">
        <v>1131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1196</v>
      </c>
      <c r="K1049" s="18">
        <v>9814754</v>
      </c>
      <c r="L1049" s="18">
        <v>903340</v>
      </c>
      <c r="M1049" s="18" t="s">
        <v>2754</v>
      </c>
      <c r="N1049" s="16" t="s">
        <v>2534</v>
      </c>
      <c r="O1049" s="18" t="s">
        <v>2755</v>
      </c>
      <c r="P1049" s="18" t="s">
        <v>2581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>
      <c r="A1050" s="16">
        <v>46104</v>
      </c>
      <c r="B1050" s="16">
        <v>46119</v>
      </c>
      <c r="C1050" s="21" t="s">
        <v>1131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1196</v>
      </c>
      <c r="K1050" s="18">
        <v>9814085</v>
      </c>
      <c r="L1050" s="18">
        <v>903163</v>
      </c>
      <c r="M1050" s="18" t="s">
        <v>2756</v>
      </c>
      <c r="N1050" s="16" t="s">
        <v>2534</v>
      </c>
      <c r="O1050" s="18" t="s">
        <v>2757</v>
      </c>
      <c r="P1050" s="18" t="s">
        <v>2758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>
      <c r="A1051" s="16">
        <v>46104</v>
      </c>
      <c r="B1051" s="16">
        <v>46119</v>
      </c>
      <c r="C1051" s="21" t="s">
        <v>1131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1196</v>
      </c>
      <c r="K1051" s="18">
        <v>9814745</v>
      </c>
      <c r="L1051" s="18">
        <v>903518</v>
      </c>
      <c r="M1051" s="18" t="s">
        <v>2759</v>
      </c>
      <c r="N1051" s="16" t="s">
        <v>2534</v>
      </c>
      <c r="O1051" s="18" t="s">
        <v>2760</v>
      </c>
      <c r="P1051" s="18" t="s">
        <v>2761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2762</v>
      </c>
      <c r="G1052" s="22">
        <v>1216.08</v>
      </c>
      <c r="H1052" s="22"/>
      <c r="I1052" s="22">
        <f t="shared" si="17"/>
        <v>1216.08</v>
      </c>
      <c r="J1052" s="18" t="s">
        <v>1262</v>
      </c>
      <c r="K1052" s="18">
        <v>9814126</v>
      </c>
      <c r="L1052" s="18">
        <v>900555</v>
      </c>
      <c r="M1052" s="18" t="s">
        <v>2679</v>
      </c>
      <c r="N1052" s="16" t="s">
        <v>2532</v>
      </c>
      <c r="O1052" s="18" t="s">
        <v>2680</v>
      </c>
      <c r="P1052" s="18" t="s">
        <v>2302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1378</v>
      </c>
      <c r="G1053" s="22">
        <v>353.4</v>
      </c>
      <c r="H1053" s="22"/>
      <c r="I1053" s="22">
        <f t="shared" si="17"/>
        <v>353.4</v>
      </c>
      <c r="J1053" s="18" t="s">
        <v>1262</v>
      </c>
      <c r="K1053" s="18">
        <v>9814125</v>
      </c>
      <c r="L1053" s="18">
        <v>900555</v>
      </c>
      <c r="M1053" s="18" t="s">
        <v>2679</v>
      </c>
      <c r="N1053" s="16" t="s">
        <v>2532</v>
      </c>
      <c r="O1053" s="18" t="s">
        <v>2680</v>
      </c>
      <c r="P1053" s="18" t="s">
        <v>2302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2763</v>
      </c>
      <c r="G1054" s="22">
        <v>344.6</v>
      </c>
      <c r="H1054" s="22"/>
      <c r="I1054" s="22">
        <f t="shared" si="17"/>
        <v>344.6</v>
      </c>
      <c r="J1054" s="18" t="s">
        <v>1262</v>
      </c>
      <c r="K1054" s="18">
        <v>9814127</v>
      </c>
      <c r="L1054" s="18">
        <v>900555</v>
      </c>
      <c r="M1054" s="18" t="s">
        <v>2679</v>
      </c>
      <c r="N1054" s="16" t="s">
        <v>2532</v>
      </c>
      <c r="O1054" s="18" t="s">
        <v>2680</v>
      </c>
      <c r="P1054" s="18" t="s">
        <v>2302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1262</v>
      </c>
      <c r="K1055" s="18">
        <v>9814725</v>
      </c>
      <c r="L1055" s="18">
        <v>903454</v>
      </c>
      <c r="M1055" s="18" t="s">
        <v>2764</v>
      </c>
      <c r="N1055" s="16" t="s">
        <v>2589</v>
      </c>
      <c r="O1055" s="18" t="s">
        <v>2765</v>
      </c>
      <c r="P1055" s="18" t="s">
        <v>2766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>
      <c r="A1056" s="16">
        <v>46104</v>
      </c>
      <c r="B1056" s="16">
        <v>46114</v>
      </c>
      <c r="C1056" s="21" t="s">
        <v>2767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1262</v>
      </c>
      <c r="K1056" s="18" t="s">
        <v>2768</v>
      </c>
      <c r="L1056" s="18">
        <v>901030</v>
      </c>
      <c r="M1056" s="18" t="s">
        <v>2769</v>
      </c>
      <c r="N1056" s="16" t="s">
        <v>2302</v>
      </c>
      <c r="O1056" s="18" t="s">
        <v>2770</v>
      </c>
      <c r="P1056" s="18" t="s">
        <v>2771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>
      <c r="A1057" s="16">
        <v>46104</v>
      </c>
      <c r="B1057" s="16">
        <v>46119</v>
      </c>
      <c r="C1057" s="21" t="s">
        <v>2772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1262</v>
      </c>
      <c r="K1057" s="18" t="s">
        <v>2773</v>
      </c>
      <c r="L1057" s="18">
        <v>902686</v>
      </c>
      <c r="M1057" s="18" t="s">
        <v>2774</v>
      </c>
      <c r="N1057" s="16" t="s">
        <v>2534</v>
      </c>
      <c r="O1057" s="18" t="s">
        <v>2775</v>
      </c>
      <c r="P1057" s="18" t="s">
        <v>2776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1262</v>
      </c>
      <c r="K1058" s="18">
        <v>9814034</v>
      </c>
      <c r="L1058" s="18">
        <v>903180</v>
      </c>
      <c r="M1058" s="18" t="s">
        <v>2777</v>
      </c>
      <c r="N1058" s="16" t="s">
        <v>2589</v>
      </c>
      <c r="O1058" s="18" t="s">
        <v>2778</v>
      </c>
      <c r="P1058" s="18" t="s">
        <v>2779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1262</v>
      </c>
      <c r="K1059" s="18">
        <v>9814010</v>
      </c>
      <c r="L1059" s="18">
        <v>900438</v>
      </c>
      <c r="M1059" s="18" t="s">
        <v>2780</v>
      </c>
      <c r="N1059" s="16" t="s">
        <v>2532</v>
      </c>
      <c r="O1059" s="18" t="s">
        <v>2533</v>
      </c>
      <c r="P1059" s="18" t="s">
        <v>2302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1262</v>
      </c>
      <c r="K1060" s="18">
        <v>9814009</v>
      </c>
      <c r="L1060" s="18">
        <v>900723</v>
      </c>
      <c r="M1060" s="18" t="s">
        <v>2781</v>
      </c>
      <c r="N1060" s="16" t="s">
        <v>2534</v>
      </c>
      <c r="O1060" s="18" t="s">
        <v>2676</v>
      </c>
      <c r="P1060" s="18" t="s">
        <v>2589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1262</v>
      </c>
      <c r="K1061" s="18">
        <v>9814669</v>
      </c>
      <c r="L1061" s="18">
        <v>903887</v>
      </c>
      <c r="M1061" s="18" t="s">
        <v>2782</v>
      </c>
      <c r="N1061" s="16" t="s">
        <v>2501</v>
      </c>
      <c r="O1061" s="18" t="s">
        <v>2783</v>
      </c>
      <c r="P1061" s="18" t="s">
        <v>2639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>
      <c r="A1062" s="16">
        <v>46104</v>
      </c>
      <c r="B1062" s="16">
        <v>46119</v>
      </c>
      <c r="C1062" s="21" t="s">
        <v>2784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1262</v>
      </c>
      <c r="K1062" s="18" t="s">
        <v>2785</v>
      </c>
      <c r="L1062" s="18">
        <v>900723</v>
      </c>
      <c r="M1062" s="18" t="s">
        <v>2781</v>
      </c>
      <c r="N1062" s="16" t="s">
        <v>2534</v>
      </c>
      <c r="O1062" s="18" t="s">
        <v>2676</v>
      </c>
      <c r="P1062" s="18" t="s">
        <v>2589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1262</v>
      </c>
      <c r="K1063" s="18">
        <v>9814662</v>
      </c>
      <c r="L1063" s="18">
        <v>903999</v>
      </c>
      <c r="M1063" s="18" t="s">
        <v>2786</v>
      </c>
      <c r="N1063" s="16" t="s">
        <v>2501</v>
      </c>
      <c r="O1063" s="18" t="s">
        <v>2787</v>
      </c>
      <c r="P1063" s="18" t="s">
        <v>2639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1262</v>
      </c>
      <c r="K1064" s="18">
        <v>9814665</v>
      </c>
      <c r="L1064" s="18">
        <v>903989</v>
      </c>
      <c r="M1064" s="18" t="s">
        <v>2788</v>
      </c>
      <c r="N1064" s="16" t="s">
        <v>2501</v>
      </c>
      <c r="O1064" s="18" t="s">
        <v>2789</v>
      </c>
      <c r="P1064" s="18" t="s">
        <v>2639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1262</v>
      </c>
      <c r="K1065" s="18">
        <v>9814007</v>
      </c>
      <c r="L1065" s="18">
        <v>900438</v>
      </c>
      <c r="M1065" s="18" t="s">
        <v>2780</v>
      </c>
      <c r="N1065" s="16" t="s">
        <v>2532</v>
      </c>
      <c r="O1065" s="18" t="s">
        <v>2533</v>
      </c>
      <c r="P1065" s="18" t="s">
        <v>2302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1262</v>
      </c>
      <c r="K1066" s="18">
        <v>9813925</v>
      </c>
      <c r="L1066" s="18">
        <v>900438</v>
      </c>
      <c r="M1066" s="18" t="s">
        <v>2780</v>
      </c>
      <c r="N1066" s="16" t="s">
        <v>2532</v>
      </c>
      <c r="O1066" s="18" t="s">
        <v>2533</v>
      </c>
      <c r="P1066" s="18" t="s">
        <v>2302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1262</v>
      </c>
      <c r="K1067" s="18">
        <v>9814004</v>
      </c>
      <c r="L1067" s="18">
        <v>900438</v>
      </c>
      <c r="M1067" s="18" t="s">
        <v>2780</v>
      </c>
      <c r="N1067" s="16" t="s">
        <v>2532</v>
      </c>
      <c r="O1067" s="18" t="s">
        <v>2533</v>
      </c>
      <c r="P1067" s="18" t="s">
        <v>2302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1262</v>
      </c>
      <c r="K1068" s="18">
        <v>9814025</v>
      </c>
      <c r="L1068" s="18">
        <v>903960</v>
      </c>
      <c r="M1068" s="18" t="s">
        <v>2790</v>
      </c>
      <c r="N1068" s="16" t="s">
        <v>2501</v>
      </c>
      <c r="O1068" s="18" t="s">
        <v>2791</v>
      </c>
      <c r="P1068" s="18" t="s">
        <v>2639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1262</v>
      </c>
      <c r="K1069" s="18">
        <v>9813933</v>
      </c>
      <c r="L1069" s="18">
        <v>900438</v>
      </c>
      <c r="M1069" s="18" t="s">
        <v>2780</v>
      </c>
      <c r="N1069" s="16" t="s">
        <v>2532</v>
      </c>
      <c r="O1069" s="18" t="s">
        <v>2533</v>
      </c>
      <c r="P1069" s="18" t="s">
        <v>2302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1262</v>
      </c>
      <c r="K1070" s="18">
        <v>9814024</v>
      </c>
      <c r="L1070" s="18">
        <v>903977</v>
      </c>
      <c r="M1070" s="18" t="s">
        <v>2792</v>
      </c>
      <c r="N1070" s="16" t="s">
        <v>2589</v>
      </c>
      <c r="O1070" s="18" t="s">
        <v>2793</v>
      </c>
      <c r="P1070" s="18" t="s">
        <v>2650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1262</v>
      </c>
      <c r="K1071" s="18">
        <v>9813939</v>
      </c>
      <c r="L1071" s="18">
        <v>900438</v>
      </c>
      <c r="M1071" s="18" t="s">
        <v>2780</v>
      </c>
      <c r="N1071" s="16" t="s">
        <v>2532</v>
      </c>
      <c r="O1071" s="18" t="s">
        <v>2533</v>
      </c>
      <c r="P1071" s="18" t="s">
        <v>2302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1262</v>
      </c>
      <c r="K1072" s="18">
        <v>9813927</v>
      </c>
      <c r="L1072" s="18">
        <v>900438</v>
      </c>
      <c r="M1072" s="18" t="s">
        <v>2780</v>
      </c>
      <c r="N1072" s="16" t="s">
        <v>2532</v>
      </c>
      <c r="O1072" s="18" t="s">
        <v>2533</v>
      </c>
      <c r="P1072" s="18" t="s">
        <v>2302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1262</v>
      </c>
      <c r="K1073" s="18">
        <v>9813929</v>
      </c>
      <c r="L1073" s="18">
        <v>900438</v>
      </c>
      <c r="M1073" s="18" t="s">
        <v>2780</v>
      </c>
      <c r="N1073" s="16" t="s">
        <v>2532</v>
      </c>
      <c r="O1073" s="18" t="s">
        <v>2533</v>
      </c>
      <c r="P1073" s="18" t="s">
        <v>2302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1262</v>
      </c>
      <c r="K1074" s="18">
        <v>9814001</v>
      </c>
      <c r="L1074" s="18">
        <v>900438</v>
      </c>
      <c r="M1074" s="18" t="s">
        <v>2780</v>
      </c>
      <c r="N1074" s="16" t="s">
        <v>2532</v>
      </c>
      <c r="O1074" s="18" t="s">
        <v>2533</v>
      </c>
      <c r="P1074" s="18" t="s">
        <v>2302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1262</v>
      </c>
      <c r="K1075" s="18">
        <v>9813924</v>
      </c>
      <c r="L1075" s="18">
        <v>903539</v>
      </c>
      <c r="M1075" s="18" t="s">
        <v>2794</v>
      </c>
      <c r="N1075" s="16" t="s">
        <v>2589</v>
      </c>
      <c r="O1075" s="18" t="s">
        <v>2673</v>
      </c>
      <c r="P1075" s="18" t="s">
        <v>2589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1262</v>
      </c>
      <c r="K1076" s="18">
        <v>9813937</v>
      </c>
      <c r="L1076" s="18">
        <v>900438</v>
      </c>
      <c r="M1076" s="18" t="s">
        <v>2780</v>
      </c>
      <c r="N1076" s="16" t="s">
        <v>2532</v>
      </c>
      <c r="O1076" s="18" t="s">
        <v>2533</v>
      </c>
      <c r="P1076" s="18" t="s">
        <v>2302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1262</v>
      </c>
      <c r="K1077" s="18">
        <v>9813936</v>
      </c>
      <c r="L1077" s="18">
        <v>900438</v>
      </c>
      <c r="M1077" s="18" t="s">
        <v>2780</v>
      </c>
      <c r="N1077" s="16" t="s">
        <v>2532</v>
      </c>
      <c r="O1077" s="18" t="s">
        <v>2533</v>
      </c>
      <c r="P1077" s="18" t="s">
        <v>2302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1262</v>
      </c>
      <c r="K1078" s="18">
        <v>9814039</v>
      </c>
      <c r="L1078" s="18">
        <v>912336</v>
      </c>
      <c r="M1078" s="18" t="s">
        <v>2795</v>
      </c>
      <c r="N1078" s="16" t="s">
        <v>2548</v>
      </c>
      <c r="O1078" s="18" t="s">
        <v>2796</v>
      </c>
      <c r="P1078" s="18" t="s">
        <v>1523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1262</v>
      </c>
      <c r="K1079" s="18">
        <v>9814039</v>
      </c>
      <c r="L1079" s="18">
        <v>912336</v>
      </c>
      <c r="M1079" s="18" t="s">
        <v>2797</v>
      </c>
      <c r="N1079" s="16" t="s">
        <v>2548</v>
      </c>
      <c r="O1079" s="18" t="s">
        <v>2798</v>
      </c>
      <c r="P1079" s="18" t="s">
        <v>2550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1262</v>
      </c>
      <c r="K1080" s="18">
        <v>9814036</v>
      </c>
      <c r="L1080" s="18">
        <v>912323</v>
      </c>
      <c r="M1080" s="18" t="s">
        <v>2799</v>
      </c>
      <c r="N1080" s="16" t="s">
        <v>2548</v>
      </c>
      <c r="O1080" s="18" t="s">
        <v>2800</v>
      </c>
      <c r="P1080" s="18" t="s">
        <v>1523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1196</v>
      </c>
      <c r="K1081" s="18">
        <v>9814080</v>
      </c>
      <c r="L1081" s="18">
        <v>912353</v>
      </c>
      <c r="M1081" s="18" t="s">
        <v>2801</v>
      </c>
      <c r="N1081" s="16" t="s">
        <v>2548</v>
      </c>
      <c r="O1081" s="18" t="s">
        <v>2802</v>
      </c>
      <c r="P1081" s="18" t="s">
        <v>1523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1196</v>
      </c>
      <c r="K1082" s="18">
        <v>9814080</v>
      </c>
      <c r="L1082" s="18">
        <v>912353</v>
      </c>
      <c r="M1082" s="18" t="s">
        <v>2803</v>
      </c>
      <c r="N1082" s="16" t="s">
        <v>2548</v>
      </c>
      <c r="O1082" s="18" t="s">
        <v>2804</v>
      </c>
      <c r="P1082" s="18" t="s">
        <v>2550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1262</v>
      </c>
      <c r="K1083" s="18">
        <v>9814036</v>
      </c>
      <c r="L1083" s="18">
        <v>912323</v>
      </c>
      <c r="M1083" s="18" t="s">
        <v>2805</v>
      </c>
      <c r="N1083" s="16" t="s">
        <v>2548</v>
      </c>
      <c r="O1083" s="18" t="s">
        <v>2806</v>
      </c>
      <c r="P1083" s="18" t="s">
        <v>1523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1248</v>
      </c>
      <c r="K1084" s="18" t="s">
        <v>1092</v>
      </c>
      <c r="L1084" s="18" t="s">
        <v>1092</v>
      </c>
      <c r="M1084" s="18" t="s">
        <v>1092</v>
      </c>
      <c r="N1084" s="16" t="s">
        <v>1092</v>
      </c>
      <c r="O1084" s="18" t="s">
        <v>1092</v>
      </c>
      <c r="P1084" s="18" t="s">
        <v>1092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1196</v>
      </c>
      <c r="K1085" s="18">
        <v>9826607</v>
      </c>
      <c r="L1085" s="18" t="s">
        <v>1092</v>
      </c>
      <c r="M1085" s="18" t="s">
        <v>1092</v>
      </c>
      <c r="N1085" s="16" t="s">
        <v>1092</v>
      </c>
      <c r="O1085" s="18" t="s">
        <v>1092</v>
      </c>
      <c r="P1085" s="18" t="s">
        <v>1092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1196</v>
      </c>
      <c r="K1086" s="18">
        <v>9826607</v>
      </c>
      <c r="L1086" s="18" t="s">
        <v>1092</v>
      </c>
      <c r="M1086" s="18" t="s">
        <v>1092</v>
      </c>
      <c r="N1086" s="16" t="s">
        <v>1092</v>
      </c>
      <c r="O1086" s="18" t="s">
        <v>1092</v>
      </c>
      <c r="P1086" s="18" t="s">
        <v>1092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1262</v>
      </c>
      <c r="K1087" s="18">
        <v>5020334</v>
      </c>
      <c r="L1087" s="18">
        <v>907913</v>
      </c>
      <c r="M1087" s="18" t="s">
        <v>2807</v>
      </c>
      <c r="N1087" s="16" t="s">
        <v>2719</v>
      </c>
      <c r="O1087" s="18" t="s">
        <v>2808</v>
      </c>
      <c r="P1087" s="18" t="s">
        <v>2639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>
      <c r="A1088" s="16">
        <v>46104</v>
      </c>
      <c r="B1088" s="16">
        <v>46120</v>
      </c>
      <c r="C1088" s="21" t="s">
        <v>2809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1196</v>
      </c>
      <c r="K1088" s="18">
        <v>9813649</v>
      </c>
      <c r="L1088" s="18">
        <v>903589</v>
      </c>
      <c r="M1088" s="18" t="s">
        <v>2810</v>
      </c>
      <c r="N1088" s="16" t="s">
        <v>2501</v>
      </c>
      <c r="O1088" s="18" t="s">
        <v>1529</v>
      </c>
      <c r="P1088" s="18" t="s">
        <v>2579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>
      <c r="A1089" s="16">
        <v>46104</v>
      </c>
      <c r="B1089" s="16">
        <v>46120</v>
      </c>
      <c r="C1089" s="21" t="s">
        <v>2811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1110</v>
      </c>
      <c r="K1089" s="18">
        <v>9813721</v>
      </c>
      <c r="L1089" s="18">
        <v>903589</v>
      </c>
      <c r="M1089" s="18" t="s">
        <v>2810</v>
      </c>
      <c r="N1089" s="16" t="s">
        <v>2501</v>
      </c>
      <c r="O1089" s="18" t="s">
        <v>1529</v>
      </c>
      <c r="P1089" s="18" t="s">
        <v>2579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1110</v>
      </c>
      <c r="K1090" s="18">
        <v>9813720</v>
      </c>
      <c r="L1090" s="18">
        <v>903589</v>
      </c>
      <c r="M1090" s="18" t="s">
        <v>2810</v>
      </c>
      <c r="N1090" s="16" t="s">
        <v>2501</v>
      </c>
      <c r="O1090" s="18" t="s">
        <v>1529</v>
      </c>
      <c r="P1090" s="18" t="s">
        <v>2579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1110</v>
      </c>
      <c r="K1091" s="18">
        <v>9813656</v>
      </c>
      <c r="L1091" s="18">
        <v>903589</v>
      </c>
      <c r="M1091" s="18" t="s">
        <v>2810</v>
      </c>
      <c r="N1091" s="16" t="s">
        <v>2501</v>
      </c>
      <c r="O1091" s="18" t="s">
        <v>1529</v>
      </c>
      <c r="P1091" s="18" t="s">
        <v>2579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1110</v>
      </c>
      <c r="K1092" s="18">
        <v>9813658</v>
      </c>
      <c r="L1092" s="18">
        <v>903589</v>
      </c>
      <c r="M1092" s="18" t="s">
        <v>2810</v>
      </c>
      <c r="N1092" s="16" t="s">
        <v>2501</v>
      </c>
      <c r="O1092" s="18" t="s">
        <v>1529</v>
      </c>
      <c r="P1092" s="18" t="s">
        <v>2579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>
      <c r="A1093" s="16">
        <v>46104</v>
      </c>
      <c r="B1093" s="16">
        <v>46120</v>
      </c>
      <c r="C1093" s="21" t="s">
        <v>2812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1110</v>
      </c>
      <c r="K1093" s="18">
        <v>9813659</v>
      </c>
      <c r="L1093" s="18">
        <v>903589</v>
      </c>
      <c r="M1093" s="18" t="s">
        <v>2810</v>
      </c>
      <c r="N1093" s="16" t="s">
        <v>2501</v>
      </c>
      <c r="O1093" s="18" t="s">
        <v>1529</v>
      </c>
      <c r="P1093" s="18" t="s">
        <v>2579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1110</v>
      </c>
      <c r="K1094" s="18">
        <v>9813884</v>
      </c>
      <c r="L1094" s="18">
        <v>903589</v>
      </c>
      <c r="M1094" s="18" t="s">
        <v>2810</v>
      </c>
      <c r="N1094" s="16" t="s">
        <v>2501</v>
      </c>
      <c r="O1094" s="18" t="s">
        <v>1529</v>
      </c>
      <c r="P1094" s="18" t="s">
        <v>2579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1110</v>
      </c>
      <c r="K1095" s="18">
        <v>9813657</v>
      </c>
      <c r="L1095" s="18">
        <v>903589</v>
      </c>
      <c r="M1095" s="18" t="s">
        <v>2810</v>
      </c>
      <c r="N1095" s="16" t="s">
        <v>2501</v>
      </c>
      <c r="O1095" s="18" t="s">
        <v>1529</v>
      </c>
      <c r="P1095" s="18" t="s">
        <v>2579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1110</v>
      </c>
      <c r="K1096" s="18">
        <v>5020150</v>
      </c>
      <c r="L1096" s="18">
        <v>903589</v>
      </c>
      <c r="M1096" s="18" t="s">
        <v>2810</v>
      </c>
      <c r="N1096" s="16" t="s">
        <v>2501</v>
      </c>
      <c r="O1096" s="18" t="s">
        <v>1529</v>
      </c>
      <c r="P1096" s="18" t="s">
        <v>2579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1196</v>
      </c>
      <c r="K1097" s="18">
        <v>9826578</v>
      </c>
      <c r="L1097" s="18" t="s">
        <v>1092</v>
      </c>
      <c r="M1097" s="18" t="s">
        <v>1092</v>
      </c>
      <c r="N1097" s="16" t="s">
        <v>1092</v>
      </c>
      <c r="O1097" s="18" t="s">
        <v>1092</v>
      </c>
      <c r="P1097" s="18" t="s">
        <v>1092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>
      <c r="A1098" s="16">
        <v>46105</v>
      </c>
      <c r="B1098" s="16">
        <v>46121</v>
      </c>
      <c r="C1098" s="21" t="s">
        <v>1131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1110</v>
      </c>
      <c r="K1098" s="18">
        <v>5020149</v>
      </c>
      <c r="L1098" s="18">
        <v>905335</v>
      </c>
      <c r="M1098" s="18" t="s">
        <v>2813</v>
      </c>
      <c r="N1098" s="16" t="s">
        <v>2675</v>
      </c>
      <c r="O1098" s="18" t="s">
        <v>2814</v>
      </c>
      <c r="P1098" s="18" t="s">
        <v>2584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1082</v>
      </c>
      <c r="K1099" s="18">
        <v>9815397</v>
      </c>
      <c r="L1099" s="18">
        <v>907148</v>
      </c>
      <c r="M1099" s="18" t="s">
        <v>2815</v>
      </c>
      <c r="N1099" s="16" t="s">
        <v>2613</v>
      </c>
      <c r="O1099" s="18" t="s">
        <v>2816</v>
      </c>
      <c r="P1099" s="18" t="s">
        <v>1523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1082</v>
      </c>
      <c r="K1100" s="18">
        <v>9815397</v>
      </c>
      <c r="L1100" s="18">
        <v>907148</v>
      </c>
      <c r="M1100" s="18" t="s">
        <v>2817</v>
      </c>
      <c r="N1100" s="16" t="s">
        <v>2613</v>
      </c>
      <c r="O1100" s="18" t="s">
        <v>2818</v>
      </c>
      <c r="P1100" s="18" t="s">
        <v>2613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2819</v>
      </c>
      <c r="G1101" s="22">
        <v>158.4</v>
      </c>
      <c r="H1101" s="22">
        <v>218.79</v>
      </c>
      <c r="I1101" s="22">
        <f t="shared" si="18"/>
        <v>377.19</v>
      </c>
      <c r="J1101" s="18" t="s">
        <v>1082</v>
      </c>
      <c r="K1101" s="18">
        <v>9815423</v>
      </c>
      <c r="L1101" s="18">
        <v>907053</v>
      </c>
      <c r="M1101" s="18" t="s">
        <v>2820</v>
      </c>
      <c r="N1101" s="16" t="s">
        <v>2637</v>
      </c>
      <c r="O1101" s="18" t="s">
        <v>2821</v>
      </c>
      <c r="P1101" s="18" t="s">
        <v>2822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>
      <c r="A1102" s="16">
        <v>46105</v>
      </c>
      <c r="B1102" s="16">
        <v>46125</v>
      </c>
      <c r="C1102" s="21" t="s">
        <v>1131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1082</v>
      </c>
      <c r="K1102" s="18">
        <v>9815539</v>
      </c>
      <c r="L1102" s="18">
        <v>907046</v>
      </c>
      <c r="M1102" s="18" t="s">
        <v>2823</v>
      </c>
      <c r="N1102" s="16" t="s">
        <v>2637</v>
      </c>
      <c r="O1102" s="18" t="s">
        <v>2824</v>
      </c>
      <c r="P1102" s="18" t="s">
        <v>2613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>
      <c r="A1103" s="16">
        <v>46105</v>
      </c>
      <c r="B1103" s="16">
        <v>46125</v>
      </c>
      <c r="C1103" s="21" t="s">
        <v>1131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1082</v>
      </c>
      <c r="K1103" s="18">
        <v>9815539</v>
      </c>
      <c r="L1103" s="18">
        <v>907046</v>
      </c>
      <c r="M1103" s="18" t="s">
        <v>2825</v>
      </c>
      <c r="N1103" s="16" t="s">
        <v>2637</v>
      </c>
      <c r="O1103" s="18" t="s">
        <v>2826</v>
      </c>
      <c r="P1103" s="18" t="s">
        <v>2550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1082</v>
      </c>
      <c r="K1104" s="18">
        <v>9822926</v>
      </c>
      <c r="L1104" s="18">
        <v>912268</v>
      </c>
      <c r="M1104" s="18" t="s">
        <v>2827</v>
      </c>
      <c r="N1104" s="16" t="s">
        <v>2548</v>
      </c>
      <c r="O1104" s="18" t="s">
        <v>2828</v>
      </c>
      <c r="P1104" s="18" t="s">
        <v>1523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>
      <c r="A1105" s="16">
        <v>46105</v>
      </c>
      <c r="B1105" s="16">
        <v>46119</v>
      </c>
      <c r="C1105" s="21" t="s">
        <v>1131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1082</v>
      </c>
      <c r="K1105" s="18">
        <v>9822821</v>
      </c>
      <c r="L1105" s="18" t="s">
        <v>1092</v>
      </c>
      <c r="M1105" s="18" t="s">
        <v>1092</v>
      </c>
      <c r="N1105" s="16" t="s">
        <v>1092</v>
      </c>
      <c r="O1105" s="18" t="s">
        <v>1092</v>
      </c>
      <c r="P1105" s="18" t="s">
        <v>1092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1082</v>
      </c>
      <c r="K1106" s="18">
        <v>9814485</v>
      </c>
      <c r="L1106" s="18">
        <v>904397</v>
      </c>
      <c r="M1106" s="18" t="s">
        <v>2829</v>
      </c>
      <c r="N1106" s="16" t="s">
        <v>2501</v>
      </c>
      <c r="O1106" s="18" t="s">
        <v>2830</v>
      </c>
      <c r="P1106" s="18" t="s">
        <v>2653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1082</v>
      </c>
      <c r="K1107" s="18">
        <v>9814471</v>
      </c>
      <c r="L1107" s="18">
        <v>904320</v>
      </c>
      <c r="M1107" s="18" t="s">
        <v>2831</v>
      </c>
      <c r="N1107" s="16" t="s">
        <v>2501</v>
      </c>
      <c r="O1107" s="18" t="s">
        <v>2832</v>
      </c>
      <c r="P1107" s="18" t="s">
        <v>2653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1082</v>
      </c>
      <c r="K1108" s="18">
        <v>9814477</v>
      </c>
      <c r="L1108" s="18">
        <v>904297</v>
      </c>
      <c r="M1108" s="18" t="s">
        <v>2833</v>
      </c>
      <c r="N1108" s="16" t="s">
        <v>2501</v>
      </c>
      <c r="O1108" s="18" t="s">
        <v>2834</v>
      </c>
      <c r="P1108" s="18" t="s">
        <v>2653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1082</v>
      </c>
      <c r="K1109" s="18">
        <v>9814473</v>
      </c>
      <c r="L1109" s="18">
        <v>904261</v>
      </c>
      <c r="M1109" s="18" t="s">
        <v>2835</v>
      </c>
      <c r="N1109" s="16" t="s">
        <v>2501</v>
      </c>
      <c r="O1109" s="18" t="s">
        <v>2836</v>
      </c>
      <c r="P1109" s="18" t="s">
        <v>2653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1082</v>
      </c>
      <c r="K1110" s="18">
        <v>9814483</v>
      </c>
      <c r="L1110" s="18">
        <v>904230</v>
      </c>
      <c r="M1110" s="18" t="s">
        <v>2837</v>
      </c>
      <c r="N1110" s="16" t="s">
        <v>2501</v>
      </c>
      <c r="O1110" s="18" t="s">
        <v>2838</v>
      </c>
      <c r="P1110" s="18" t="s">
        <v>2653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1082</v>
      </c>
      <c r="K1111" s="18">
        <v>9814481</v>
      </c>
      <c r="L1111" s="18">
        <v>904248</v>
      </c>
      <c r="M1111" s="18" t="s">
        <v>2839</v>
      </c>
      <c r="N1111" s="16" t="s">
        <v>2589</v>
      </c>
      <c r="O1111" s="18" t="s">
        <v>2840</v>
      </c>
      <c r="P1111" s="18" t="s">
        <v>2841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>
      <c r="A1112" s="16">
        <v>46111</v>
      </c>
      <c r="B1112" s="16">
        <v>46119</v>
      </c>
      <c r="C1112" s="21" t="s">
        <v>2842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1131</v>
      </c>
      <c r="G1112" s="22">
        <v>10510</v>
      </c>
      <c r="H1112" s="22"/>
      <c r="I1112" s="22">
        <f t="shared" si="18"/>
        <v>10510</v>
      </c>
      <c r="J1112" s="18" t="s">
        <v>1082</v>
      </c>
      <c r="K1112" s="18">
        <v>9822924</v>
      </c>
      <c r="L1112" s="18" t="s">
        <v>1092</v>
      </c>
      <c r="M1112" s="18" t="s">
        <v>1092</v>
      </c>
      <c r="N1112" s="16" t="s">
        <v>1092</v>
      </c>
      <c r="O1112" s="18" t="s">
        <v>1092</v>
      </c>
      <c r="P1112" s="18" t="s">
        <v>1092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>
      <c r="A1113" s="16">
        <v>46111</v>
      </c>
      <c r="B1113" s="16">
        <v>46119</v>
      </c>
      <c r="C1113" s="21" t="s">
        <v>1131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1196</v>
      </c>
      <c r="K1113" s="18">
        <v>9814419</v>
      </c>
      <c r="L1113" s="18" t="s">
        <v>1092</v>
      </c>
      <c r="M1113" s="18" t="s">
        <v>1092</v>
      </c>
      <c r="N1113" s="16" t="s">
        <v>1092</v>
      </c>
      <c r="O1113" s="18" t="s">
        <v>1092</v>
      </c>
      <c r="P1113" s="18" t="s">
        <v>1092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1262</v>
      </c>
      <c r="K1114" s="18">
        <v>5020153</v>
      </c>
      <c r="L1114" s="18">
        <v>922195</v>
      </c>
      <c r="M1114" s="18" t="s">
        <v>2843</v>
      </c>
      <c r="N1114" s="16" t="s">
        <v>2670</v>
      </c>
      <c r="O1114" s="18" t="s">
        <v>2481</v>
      </c>
      <c r="P1114" s="18" t="s">
        <v>2671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1196</v>
      </c>
      <c r="K1115" s="18">
        <v>9818007</v>
      </c>
      <c r="L1115" s="18">
        <v>903890</v>
      </c>
      <c r="M1115" s="18" t="s">
        <v>2844</v>
      </c>
      <c r="N1115" s="16" t="s">
        <v>2501</v>
      </c>
      <c r="O1115" s="18" t="s">
        <v>2845</v>
      </c>
      <c r="P1115" s="18" t="s">
        <v>2846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1082</v>
      </c>
      <c r="K1116" s="18">
        <v>9818004</v>
      </c>
      <c r="L1116" s="18">
        <v>903876</v>
      </c>
      <c r="M1116" s="18" t="s">
        <v>2847</v>
      </c>
      <c r="N1116" s="16" t="s">
        <v>2501</v>
      </c>
      <c r="O1116" s="18" t="s">
        <v>2848</v>
      </c>
      <c r="P1116" s="18" t="s">
        <v>2849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1196</v>
      </c>
      <c r="K1117" s="18">
        <v>9818006</v>
      </c>
      <c r="L1117" s="18">
        <v>903205</v>
      </c>
      <c r="M1117" s="18" t="s">
        <v>2850</v>
      </c>
      <c r="N1117" s="16" t="s">
        <v>2589</v>
      </c>
      <c r="O1117" s="18" t="s">
        <v>2851</v>
      </c>
      <c r="P1117" s="18" t="s">
        <v>2501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1196</v>
      </c>
      <c r="K1118" s="18">
        <v>9818010</v>
      </c>
      <c r="L1118" s="18">
        <v>903368</v>
      </c>
      <c r="M1118" s="18" t="s">
        <v>2852</v>
      </c>
      <c r="N1118" s="16" t="s">
        <v>2589</v>
      </c>
      <c r="O1118" s="18" t="s">
        <v>1972</v>
      </c>
      <c r="P1118" s="18" t="s">
        <v>2579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1082</v>
      </c>
      <c r="K1119" s="18">
        <v>5020333</v>
      </c>
      <c r="L1119" s="18" t="s">
        <v>1092</v>
      </c>
      <c r="M1119" s="18" t="s">
        <v>1092</v>
      </c>
      <c r="N1119" s="16" t="s">
        <v>1092</v>
      </c>
      <c r="O1119" s="18" t="s">
        <v>1092</v>
      </c>
      <c r="P1119" s="18" t="s">
        <v>1092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1196</v>
      </c>
      <c r="K1120" s="18">
        <v>9818009</v>
      </c>
      <c r="L1120" s="18">
        <v>903352</v>
      </c>
      <c r="M1120" s="18" t="s">
        <v>2853</v>
      </c>
      <c r="N1120" s="16" t="s">
        <v>2589</v>
      </c>
      <c r="O1120" s="18" t="s">
        <v>2854</v>
      </c>
      <c r="P1120" s="18" t="s">
        <v>2501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1196</v>
      </c>
      <c r="K1121" s="18">
        <v>9818005</v>
      </c>
      <c r="L1121" s="18">
        <v>903186</v>
      </c>
      <c r="M1121" s="18" t="s">
        <v>2855</v>
      </c>
      <c r="N1121" s="16" t="s">
        <v>2534</v>
      </c>
      <c r="O1121" s="18" t="s">
        <v>2856</v>
      </c>
      <c r="P1121" s="18" t="s">
        <v>2589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1196</v>
      </c>
      <c r="K1122" s="18">
        <v>9818008</v>
      </c>
      <c r="L1122" s="18">
        <v>903328</v>
      </c>
      <c r="M1122" s="18" t="s">
        <v>2857</v>
      </c>
      <c r="N1122" s="16" t="s">
        <v>2589</v>
      </c>
      <c r="O1122" s="18" t="s">
        <v>2858</v>
      </c>
      <c r="P1122" s="18" t="s">
        <v>2589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1262</v>
      </c>
      <c r="K1123" s="18" t="s">
        <v>1092</v>
      </c>
      <c r="L1123" s="18" t="s">
        <v>1092</v>
      </c>
      <c r="M1123" s="18" t="s">
        <v>1092</v>
      </c>
      <c r="N1123" s="16" t="s">
        <v>1092</v>
      </c>
      <c r="O1123" s="18" t="s">
        <v>1092</v>
      </c>
      <c r="P1123" s="18" t="s">
        <v>1092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>
      <c r="A1124" s="16">
        <v>46111</v>
      </c>
      <c r="B1124" s="16">
        <v>46133</v>
      </c>
      <c r="C1124" s="21" t="s">
        <v>1131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1262</v>
      </c>
      <c r="K1124" s="18">
        <v>9835141</v>
      </c>
      <c r="L1124" s="18">
        <v>913981</v>
      </c>
      <c r="M1124" s="18" t="s">
        <v>2859</v>
      </c>
      <c r="N1124" s="16" t="s">
        <v>2860</v>
      </c>
      <c r="O1124" s="18" t="s">
        <v>2861</v>
      </c>
      <c r="P1124" s="18" t="s">
        <v>2862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>
      <c r="A1125" s="16">
        <v>46111</v>
      </c>
      <c r="B1125" s="16">
        <v>46119</v>
      </c>
      <c r="C1125" s="21" t="s">
        <v>2863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1262</v>
      </c>
      <c r="K1125" s="18" t="s">
        <v>2864</v>
      </c>
      <c r="L1125" s="18">
        <v>902859</v>
      </c>
      <c r="M1125" s="18" t="s">
        <v>2865</v>
      </c>
      <c r="N1125" s="16" t="s">
        <v>2534</v>
      </c>
      <c r="O1125" s="18" t="s">
        <v>2866</v>
      </c>
      <c r="P1125" s="18" t="s">
        <v>2867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1262</v>
      </c>
      <c r="K1126" s="18">
        <v>9818181</v>
      </c>
      <c r="L1126" s="18">
        <v>902830</v>
      </c>
      <c r="M1126" s="18" t="s">
        <v>2868</v>
      </c>
      <c r="N1126" s="16" t="s">
        <v>2534</v>
      </c>
      <c r="O1126" s="18" t="s">
        <v>2869</v>
      </c>
      <c r="P1126" s="18" t="s">
        <v>2591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1262</v>
      </c>
      <c r="K1127" s="18">
        <v>9818186</v>
      </c>
      <c r="L1127" s="18">
        <v>902830</v>
      </c>
      <c r="M1127" s="18" t="s">
        <v>2868</v>
      </c>
      <c r="N1127" s="16" t="s">
        <v>2534</v>
      </c>
      <c r="O1127" s="18" t="s">
        <v>2869</v>
      </c>
      <c r="P1127" s="18" t="s">
        <v>2591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1262</v>
      </c>
      <c r="K1128" s="18">
        <v>9835141</v>
      </c>
      <c r="L1128" s="18">
        <v>913981</v>
      </c>
      <c r="M1128" s="18" t="s">
        <v>2859</v>
      </c>
      <c r="N1128" s="16" t="s">
        <v>2860</v>
      </c>
      <c r="O1128" s="18" t="s">
        <v>2861</v>
      </c>
      <c r="P1128" s="18" t="s">
        <v>2862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1262</v>
      </c>
      <c r="K1129" s="18">
        <v>9814489</v>
      </c>
      <c r="L1129" s="18">
        <v>910212</v>
      </c>
      <c r="M1129" s="18" t="s">
        <v>2870</v>
      </c>
      <c r="N1129" s="16" t="s">
        <v>2584</v>
      </c>
      <c r="O1129" s="18" t="s">
        <v>2871</v>
      </c>
      <c r="P1129" s="18" t="s">
        <v>2872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2873</v>
      </c>
      <c r="G1130" s="22">
        <v>20475</v>
      </c>
      <c r="H1130" s="22"/>
      <c r="I1130" s="22">
        <f t="shared" si="18"/>
        <v>20475</v>
      </c>
      <c r="J1130" s="18" t="s">
        <v>1196</v>
      </c>
      <c r="K1130" s="18">
        <v>9814046</v>
      </c>
      <c r="L1130" s="18">
        <v>902854</v>
      </c>
      <c r="M1130" s="18" t="s">
        <v>2874</v>
      </c>
      <c r="N1130" s="16" t="s">
        <v>2534</v>
      </c>
      <c r="O1130" s="18" t="s">
        <v>1774</v>
      </c>
      <c r="P1130" s="18" t="s">
        <v>2589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1452</v>
      </c>
      <c r="G1131" s="22">
        <v>18912.5</v>
      </c>
      <c r="H1131" s="22"/>
      <c r="I1131" s="22">
        <f t="shared" si="18"/>
        <v>18912.5</v>
      </c>
      <c r="J1131" s="18" t="s">
        <v>1196</v>
      </c>
      <c r="K1131" s="18">
        <v>9814058</v>
      </c>
      <c r="L1131" s="18">
        <v>901042</v>
      </c>
      <c r="M1131" s="18" t="s">
        <v>2875</v>
      </c>
      <c r="N1131" s="16" t="s">
        <v>2532</v>
      </c>
      <c r="O1131" s="18" t="s">
        <v>1116</v>
      </c>
      <c r="P1131" s="18" t="s">
        <v>2302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2876</v>
      </c>
      <c r="G1132" s="22">
        <v>18912.5</v>
      </c>
      <c r="H1132" s="22"/>
      <c r="I1132" s="22">
        <f t="shared" si="18"/>
        <v>18912.5</v>
      </c>
      <c r="J1132" s="18" t="s">
        <v>1196</v>
      </c>
      <c r="K1132" s="18">
        <v>9814053</v>
      </c>
      <c r="L1132" s="18">
        <v>901055</v>
      </c>
      <c r="M1132" s="18" t="s">
        <v>2877</v>
      </c>
      <c r="N1132" s="16" t="s">
        <v>2302</v>
      </c>
      <c r="O1132" s="18" t="s">
        <v>1533</v>
      </c>
      <c r="P1132" s="18" t="s">
        <v>2534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2878</v>
      </c>
      <c r="G1133" s="22">
        <v>17720.7</v>
      </c>
      <c r="H1133" s="22"/>
      <c r="I1133" s="22">
        <f t="shared" si="18"/>
        <v>17720.7</v>
      </c>
      <c r="J1133" s="18" t="s">
        <v>1196</v>
      </c>
      <c r="K1133" s="18">
        <v>9813855</v>
      </c>
      <c r="L1133" s="18">
        <v>901077</v>
      </c>
      <c r="M1133" s="18" t="s">
        <v>2879</v>
      </c>
      <c r="N1133" s="16" t="s">
        <v>2534</v>
      </c>
      <c r="O1133" s="18" t="s">
        <v>2460</v>
      </c>
      <c r="P1133" s="18" t="s">
        <v>2589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2880</v>
      </c>
      <c r="G1134" s="22">
        <v>14487.5</v>
      </c>
      <c r="H1134" s="22"/>
      <c r="I1134" s="22">
        <f t="shared" si="18"/>
        <v>14487.5</v>
      </c>
      <c r="J1134" s="18" t="s">
        <v>1196</v>
      </c>
      <c r="K1134" s="18">
        <v>9814067</v>
      </c>
      <c r="L1134" s="18">
        <v>901035</v>
      </c>
      <c r="M1134" s="18" t="s">
        <v>2881</v>
      </c>
      <c r="N1134" s="16" t="s">
        <v>2532</v>
      </c>
      <c r="O1134" s="18" t="s">
        <v>1531</v>
      </c>
      <c r="P1134" s="18" t="s">
        <v>2302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2882</v>
      </c>
      <c r="G1135" s="22">
        <v>10850</v>
      </c>
      <c r="H1135" s="22"/>
      <c r="I1135" s="22">
        <f t="shared" si="18"/>
        <v>10850</v>
      </c>
      <c r="J1135" s="18" t="s">
        <v>1196</v>
      </c>
      <c r="K1135" s="18">
        <v>9814061</v>
      </c>
      <c r="L1135" s="18">
        <v>900477</v>
      </c>
      <c r="M1135" s="18" t="s">
        <v>2883</v>
      </c>
      <c r="N1135" s="16" t="s">
        <v>2532</v>
      </c>
      <c r="O1135" s="18" t="s">
        <v>1333</v>
      </c>
      <c r="P1135" s="18" t="s">
        <v>2302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2884</v>
      </c>
      <c r="G1136" s="22">
        <v>2345.1999999999998</v>
      </c>
      <c r="H1136" s="22"/>
      <c r="I1136" s="22">
        <f t="shared" si="18"/>
        <v>2345.1999999999998</v>
      </c>
      <c r="J1136" s="18" t="s">
        <v>1196</v>
      </c>
      <c r="K1136" s="18">
        <v>9814019</v>
      </c>
      <c r="L1136" s="18">
        <v>900361</v>
      </c>
      <c r="M1136" s="18" t="s">
        <v>2885</v>
      </c>
      <c r="N1136" s="16" t="s">
        <v>2532</v>
      </c>
      <c r="O1136" s="18" t="s">
        <v>2886</v>
      </c>
      <c r="P1136" s="18" t="s">
        <v>2887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2686</v>
      </c>
      <c r="G1137" s="22">
        <v>1505.49</v>
      </c>
      <c r="H1137" s="22"/>
      <c r="I1137" s="22">
        <f t="shared" si="18"/>
        <v>1505.49</v>
      </c>
      <c r="J1137" s="18" t="s">
        <v>1196</v>
      </c>
      <c r="K1137" s="18">
        <v>9813859</v>
      </c>
      <c r="L1137" s="18">
        <v>900361</v>
      </c>
      <c r="M1137" s="18" t="s">
        <v>2888</v>
      </c>
      <c r="N1137" s="16" t="s">
        <v>2532</v>
      </c>
      <c r="O1137" s="18" t="s">
        <v>1535</v>
      </c>
      <c r="P1137" s="18" t="s">
        <v>2302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2684</v>
      </c>
      <c r="G1138" s="22">
        <v>1474.88</v>
      </c>
      <c r="H1138" s="22"/>
      <c r="I1138" s="22">
        <f t="shared" si="18"/>
        <v>1474.88</v>
      </c>
      <c r="J1138" s="18" t="s">
        <v>1196</v>
      </c>
      <c r="K1138" s="18">
        <v>9813883</v>
      </c>
      <c r="L1138" s="18">
        <v>900361</v>
      </c>
      <c r="M1138" s="18" t="s">
        <v>2885</v>
      </c>
      <c r="N1138" s="16" t="s">
        <v>2532</v>
      </c>
      <c r="O1138" s="18" t="s">
        <v>2886</v>
      </c>
      <c r="P1138" s="18" t="s">
        <v>2887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2683</v>
      </c>
      <c r="G1139" s="22">
        <v>1064.95</v>
      </c>
      <c r="H1139" s="22"/>
      <c r="I1139" s="22">
        <f t="shared" si="18"/>
        <v>1064.95</v>
      </c>
      <c r="J1139" s="18" t="s">
        <v>1196</v>
      </c>
      <c r="K1139" s="18">
        <v>9813881</v>
      </c>
      <c r="L1139" s="18">
        <v>900361</v>
      </c>
      <c r="M1139" s="18" t="s">
        <v>2885</v>
      </c>
      <c r="N1139" s="16" t="s">
        <v>2532</v>
      </c>
      <c r="O1139" s="18" t="s">
        <v>2886</v>
      </c>
      <c r="P1139" s="18" t="s">
        <v>2887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2889</v>
      </c>
      <c r="G1140" s="22">
        <v>987.12</v>
      </c>
      <c r="H1140" s="22"/>
      <c r="I1140" s="22">
        <f t="shared" si="18"/>
        <v>987.12</v>
      </c>
      <c r="J1140" s="18" t="s">
        <v>1196</v>
      </c>
      <c r="K1140" s="18">
        <v>9814064</v>
      </c>
      <c r="L1140" s="18">
        <v>900361</v>
      </c>
      <c r="M1140" s="18" t="s">
        <v>2885</v>
      </c>
      <c r="N1140" s="16" t="s">
        <v>2532</v>
      </c>
      <c r="O1140" s="18" t="s">
        <v>2886</v>
      </c>
      <c r="P1140" s="18" t="s">
        <v>2887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2682</v>
      </c>
      <c r="G1141" s="22">
        <v>825.48</v>
      </c>
      <c r="H1141" s="22"/>
      <c r="I1141" s="22">
        <f t="shared" si="18"/>
        <v>825.48</v>
      </c>
      <c r="J1141" s="18" t="s">
        <v>1196</v>
      </c>
      <c r="K1141" s="18">
        <v>9813885</v>
      </c>
      <c r="L1141" s="18">
        <v>900361</v>
      </c>
      <c r="M1141" s="18" t="s">
        <v>2885</v>
      </c>
      <c r="N1141" s="16" t="s">
        <v>2532</v>
      </c>
      <c r="O1141" s="18" t="s">
        <v>2886</v>
      </c>
      <c r="P1141" s="18" t="s">
        <v>2887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2687</v>
      </c>
      <c r="G1142" s="22">
        <v>665</v>
      </c>
      <c r="H1142" s="22"/>
      <c r="I1142" s="22">
        <f t="shared" si="18"/>
        <v>665</v>
      </c>
      <c r="J1142" s="18" t="s">
        <v>1196</v>
      </c>
      <c r="K1142" s="18">
        <v>9813890</v>
      </c>
      <c r="L1142" s="18">
        <v>900361</v>
      </c>
      <c r="M1142" s="18" t="s">
        <v>2885</v>
      </c>
      <c r="N1142" s="16" t="s">
        <v>2532</v>
      </c>
      <c r="O1142" s="18" t="s">
        <v>2886</v>
      </c>
      <c r="P1142" s="18" t="s">
        <v>2887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2762</v>
      </c>
      <c r="G1143" s="22">
        <v>500</v>
      </c>
      <c r="H1143" s="22"/>
      <c r="I1143" s="22">
        <f t="shared" si="18"/>
        <v>500</v>
      </c>
      <c r="J1143" s="18" t="s">
        <v>1196</v>
      </c>
      <c r="K1143" s="18">
        <v>9813856</v>
      </c>
      <c r="L1143" s="18">
        <v>900361</v>
      </c>
      <c r="M1143" s="18" t="s">
        <v>2885</v>
      </c>
      <c r="N1143" s="16" t="s">
        <v>2532</v>
      </c>
      <c r="O1143" s="18" t="s">
        <v>2886</v>
      </c>
      <c r="P1143" s="18" t="s">
        <v>2887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>
      <c r="A1144" s="16">
        <v>46111</v>
      </c>
      <c r="B1144" s="16">
        <v>46121</v>
      </c>
      <c r="C1144" s="21" t="s">
        <v>1131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1082</v>
      </c>
      <c r="K1144" s="18">
        <v>9814491</v>
      </c>
      <c r="L1144" s="18">
        <v>902855</v>
      </c>
      <c r="M1144" s="18" t="s">
        <v>2890</v>
      </c>
      <c r="N1144" s="16" t="s">
        <v>2501</v>
      </c>
      <c r="O1144" s="18" t="s">
        <v>2891</v>
      </c>
      <c r="P1144" s="18" t="s">
        <v>2710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1082</v>
      </c>
      <c r="K1145" s="18">
        <v>9818001</v>
      </c>
      <c r="L1145" s="18">
        <v>903139</v>
      </c>
      <c r="M1145" s="18" t="s">
        <v>2892</v>
      </c>
      <c r="N1145" s="16" t="s">
        <v>2534</v>
      </c>
      <c r="O1145" s="18" t="s">
        <v>2893</v>
      </c>
      <c r="P1145" s="18" t="s">
        <v>2894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1082</v>
      </c>
      <c r="K1146" s="18">
        <v>9817238</v>
      </c>
      <c r="L1146" s="18">
        <v>903139</v>
      </c>
      <c r="M1146" s="18" t="s">
        <v>2892</v>
      </c>
      <c r="N1146" s="16" t="s">
        <v>2534</v>
      </c>
      <c r="O1146" s="18" t="s">
        <v>2893</v>
      </c>
      <c r="P1146" s="18" t="s">
        <v>2894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1082</v>
      </c>
      <c r="K1147" s="18">
        <v>9818002</v>
      </c>
      <c r="L1147" s="18">
        <v>903139</v>
      </c>
      <c r="M1147" s="18" t="s">
        <v>2892</v>
      </c>
      <c r="N1147" s="16" t="s">
        <v>2534</v>
      </c>
      <c r="O1147" s="18" t="s">
        <v>2893</v>
      </c>
      <c r="P1147" s="18" t="s">
        <v>2894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>
      <c r="A1148" s="16">
        <v>46111</v>
      </c>
      <c r="B1148" s="16">
        <v>46125</v>
      </c>
      <c r="C1148" s="21" t="s">
        <v>1131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2895</v>
      </c>
      <c r="K1148" s="18">
        <v>9826654</v>
      </c>
      <c r="L1148" s="18">
        <v>906913</v>
      </c>
      <c r="M1148" s="18" t="s">
        <v>2896</v>
      </c>
      <c r="N1148" s="16" t="s">
        <v>2637</v>
      </c>
      <c r="O1148" s="18" t="s">
        <v>2897</v>
      </c>
      <c r="P1148" s="18" t="s">
        <v>2639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1196</v>
      </c>
      <c r="K1149" s="18">
        <v>5020329</v>
      </c>
      <c r="L1149" s="18">
        <v>906932</v>
      </c>
      <c r="M1149" s="18" t="s">
        <v>2898</v>
      </c>
      <c r="N1149" s="16" t="s">
        <v>2613</v>
      </c>
      <c r="O1149" s="18" t="s">
        <v>2899</v>
      </c>
      <c r="P1149" s="18" t="s">
        <v>2581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1248</v>
      </c>
      <c r="K1150" s="18" t="s">
        <v>1092</v>
      </c>
      <c r="L1150" s="18" t="s">
        <v>1092</v>
      </c>
      <c r="M1150" s="18" t="s">
        <v>1092</v>
      </c>
      <c r="N1150" s="16" t="s">
        <v>1092</v>
      </c>
      <c r="O1150" s="18" t="s">
        <v>1092</v>
      </c>
      <c r="P1150" s="18" t="s">
        <v>1092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1248</v>
      </c>
      <c r="K1151" s="18" t="s">
        <v>1092</v>
      </c>
      <c r="L1151" s="18" t="s">
        <v>1092</v>
      </c>
      <c r="M1151" s="18" t="s">
        <v>1092</v>
      </c>
      <c r="N1151" s="16" t="s">
        <v>1092</v>
      </c>
      <c r="O1151" s="18" t="s">
        <v>1092</v>
      </c>
      <c r="P1151" s="18" t="s">
        <v>1092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1131</v>
      </c>
      <c r="G1152" s="22">
        <v>4800</v>
      </c>
      <c r="H1152" s="22"/>
      <c r="I1152" s="22">
        <f t="shared" ref="I1152:I1215" si="19">G1152+H1152</f>
        <v>4800</v>
      </c>
      <c r="J1152" s="18" t="s">
        <v>1262</v>
      </c>
      <c r="K1152" s="18">
        <v>5020154</v>
      </c>
      <c r="L1152" s="18">
        <v>910799</v>
      </c>
      <c r="M1152" s="18" t="s">
        <v>2900</v>
      </c>
      <c r="N1152" s="16" t="s">
        <v>2299</v>
      </c>
      <c r="O1152" s="18" t="s">
        <v>2612</v>
      </c>
      <c r="P1152" s="18" t="s">
        <v>2670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1110</v>
      </c>
      <c r="K1153" s="18"/>
      <c r="L1153" s="18" t="s">
        <v>1092</v>
      </c>
      <c r="M1153" s="18" t="s">
        <v>1092</v>
      </c>
      <c r="N1153" s="16" t="s">
        <v>1092</v>
      </c>
      <c r="O1153" s="18" t="s">
        <v>1092</v>
      </c>
      <c r="P1153" s="18" t="s">
        <v>1092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1196</v>
      </c>
      <c r="K1154" s="18">
        <v>5020189</v>
      </c>
      <c r="L1154" s="18">
        <v>903589</v>
      </c>
      <c r="M1154" s="18" t="s">
        <v>2810</v>
      </c>
      <c r="N1154" s="16" t="s">
        <v>2501</v>
      </c>
      <c r="O1154" s="18" t="s">
        <v>1529</v>
      </c>
      <c r="P1154" s="18" t="s">
        <v>2579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>
      <c r="A1155" s="16">
        <v>46111</v>
      </c>
      <c r="B1155" s="16">
        <v>46114</v>
      </c>
      <c r="C1155" s="21" t="s">
        <v>2901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1110</v>
      </c>
      <c r="K1155" s="18">
        <v>9813886</v>
      </c>
      <c r="L1155" s="18">
        <v>903589</v>
      </c>
      <c r="M1155" s="18" t="s">
        <v>2810</v>
      </c>
      <c r="N1155" s="16" t="s">
        <v>2501</v>
      </c>
      <c r="O1155" s="18" t="s">
        <v>1529</v>
      </c>
      <c r="P1155" s="18" t="s">
        <v>2579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1110</v>
      </c>
      <c r="K1156" s="18">
        <v>9813889</v>
      </c>
      <c r="L1156" s="18">
        <v>903589</v>
      </c>
      <c r="M1156" s="18" t="s">
        <v>2810</v>
      </c>
      <c r="N1156" s="16" t="s">
        <v>2501</v>
      </c>
      <c r="O1156" s="18" t="s">
        <v>1529</v>
      </c>
      <c r="P1156" s="18" t="s">
        <v>2579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1110</v>
      </c>
      <c r="K1157" s="18">
        <v>9813892</v>
      </c>
      <c r="L1157" s="18">
        <v>903589</v>
      </c>
      <c r="M1157" s="18" t="s">
        <v>2810</v>
      </c>
      <c r="N1157" s="16" t="s">
        <v>2501</v>
      </c>
      <c r="O1157" s="18" t="s">
        <v>1529</v>
      </c>
      <c r="P1157" s="18" t="s">
        <v>2579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1110</v>
      </c>
      <c r="K1158" s="18">
        <v>9813894</v>
      </c>
      <c r="L1158" s="18">
        <v>903589</v>
      </c>
      <c r="M1158" s="18" t="s">
        <v>2810</v>
      </c>
      <c r="N1158" s="16" t="s">
        <v>2501</v>
      </c>
      <c r="O1158" s="18" t="s">
        <v>1529</v>
      </c>
      <c r="P1158" s="18" t="s">
        <v>2579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1110</v>
      </c>
      <c r="K1159" s="18">
        <v>9813899</v>
      </c>
      <c r="L1159" s="18">
        <v>903589</v>
      </c>
      <c r="M1159" s="18" t="s">
        <v>2810</v>
      </c>
      <c r="N1159" s="16" t="s">
        <v>2501</v>
      </c>
      <c r="O1159" s="18" t="s">
        <v>1529</v>
      </c>
      <c r="P1159" s="18" t="s">
        <v>2579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1110</v>
      </c>
      <c r="K1160" s="18">
        <v>9813897</v>
      </c>
      <c r="L1160" s="18">
        <v>903589</v>
      </c>
      <c r="M1160" s="18" t="s">
        <v>2810</v>
      </c>
      <c r="N1160" s="16" t="s">
        <v>2501</v>
      </c>
      <c r="O1160" s="18" t="s">
        <v>1529</v>
      </c>
      <c r="P1160" s="18" t="s">
        <v>2579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>
      <c r="A1161" s="16">
        <v>46111</v>
      </c>
      <c r="B1161" s="16">
        <v>46114</v>
      </c>
      <c r="C1161" s="21" t="s">
        <v>1131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2902</v>
      </c>
      <c r="G1161" s="22">
        <v>50.43</v>
      </c>
      <c r="H1161" s="22">
        <v>7585.23</v>
      </c>
      <c r="I1161" s="22">
        <f t="shared" si="19"/>
        <v>7635.66</v>
      </c>
      <c r="J1161" s="18" t="s">
        <v>2895</v>
      </c>
      <c r="K1161" s="18" t="s">
        <v>1092</v>
      </c>
      <c r="L1161" s="18" t="s">
        <v>1092</v>
      </c>
      <c r="M1161" s="18" t="s">
        <v>1092</v>
      </c>
      <c r="N1161" s="16" t="s">
        <v>1092</v>
      </c>
      <c r="O1161" s="18" t="s">
        <v>1092</v>
      </c>
      <c r="P1161" s="18" t="s">
        <v>1092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>
      <c r="A1162" s="16">
        <v>46111</v>
      </c>
      <c r="B1162" s="16">
        <v>46120</v>
      </c>
      <c r="C1162" s="21" t="s">
        <v>1131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2903</v>
      </c>
      <c r="G1162" s="22">
        <v>50.43</v>
      </c>
      <c r="H1162" s="22">
        <v>7585.23</v>
      </c>
      <c r="I1162" s="22">
        <f t="shared" si="19"/>
        <v>7635.66</v>
      </c>
      <c r="J1162" s="18" t="s">
        <v>1196</v>
      </c>
      <c r="K1162" s="18">
        <v>9814466</v>
      </c>
      <c r="L1162" s="18">
        <v>904179</v>
      </c>
      <c r="M1162" s="18" t="s">
        <v>2904</v>
      </c>
      <c r="N1162" s="16" t="s">
        <v>2501</v>
      </c>
      <c r="O1162" s="18" t="s">
        <v>1092</v>
      </c>
      <c r="P1162" s="18" t="s">
        <v>1092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1196</v>
      </c>
      <c r="K1163" s="18">
        <v>9826734</v>
      </c>
      <c r="L1163" s="18" t="s">
        <v>1092</v>
      </c>
      <c r="M1163" s="18" t="s">
        <v>1092</v>
      </c>
      <c r="N1163" s="16" t="s">
        <v>1092</v>
      </c>
      <c r="O1163" s="18" t="s">
        <v>1092</v>
      </c>
      <c r="P1163" s="18" t="s">
        <v>1092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>
      <c r="A1164" s="16">
        <v>46111</v>
      </c>
      <c r="B1164" s="16">
        <v>46119</v>
      </c>
      <c r="C1164" s="21" t="s">
        <v>2905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1300</v>
      </c>
      <c r="G1164" s="22">
        <v>25976.31</v>
      </c>
      <c r="H1164" s="22"/>
      <c r="I1164" s="22">
        <f t="shared" si="19"/>
        <v>25976.31</v>
      </c>
      <c r="J1164" s="18" t="s">
        <v>1196</v>
      </c>
      <c r="K1164" s="18" t="s">
        <v>2906</v>
      </c>
      <c r="L1164" s="18">
        <v>902875</v>
      </c>
      <c r="M1164" s="18" t="s">
        <v>2907</v>
      </c>
      <c r="N1164" s="16" t="s">
        <v>2589</v>
      </c>
      <c r="O1164" s="18" t="s">
        <v>2460</v>
      </c>
      <c r="P1164" s="18" t="s">
        <v>2501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1097</v>
      </c>
      <c r="G1165" s="22">
        <v>979.2</v>
      </c>
      <c r="H1165" s="22"/>
      <c r="I1165" s="22">
        <f t="shared" si="19"/>
        <v>979.2</v>
      </c>
      <c r="J1165" s="18" t="s">
        <v>1196</v>
      </c>
      <c r="K1165" s="18">
        <v>9814005</v>
      </c>
      <c r="L1165" s="18">
        <v>897242</v>
      </c>
      <c r="M1165" s="18" t="s">
        <v>2908</v>
      </c>
      <c r="N1165" s="16" t="s">
        <v>2532</v>
      </c>
      <c r="O1165" s="18" t="s">
        <v>1529</v>
      </c>
      <c r="P1165" s="18" t="s">
        <v>2302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1298</v>
      </c>
      <c r="G1166" s="22">
        <v>975.24</v>
      </c>
      <c r="H1166" s="22"/>
      <c r="I1166" s="22">
        <f t="shared" si="19"/>
        <v>975.24</v>
      </c>
      <c r="J1166" s="18" t="s">
        <v>1196</v>
      </c>
      <c r="K1166" s="18">
        <v>9813896</v>
      </c>
      <c r="L1166" s="18">
        <v>897242</v>
      </c>
      <c r="M1166" s="18" t="s">
        <v>2908</v>
      </c>
      <c r="N1166" s="16" t="s">
        <v>2532</v>
      </c>
      <c r="O1166" s="18" t="s">
        <v>1529</v>
      </c>
      <c r="P1166" s="18" t="s">
        <v>2302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1102</v>
      </c>
      <c r="G1167" s="22">
        <v>375</v>
      </c>
      <c r="H1167" s="22"/>
      <c r="I1167" s="22">
        <f t="shared" si="19"/>
        <v>375</v>
      </c>
      <c r="J1167" s="18" t="s">
        <v>1196</v>
      </c>
      <c r="K1167" s="18">
        <v>9814016</v>
      </c>
      <c r="L1167" s="18">
        <v>897242</v>
      </c>
      <c r="M1167" s="18" t="s">
        <v>2908</v>
      </c>
      <c r="N1167" s="16" t="s">
        <v>2532</v>
      </c>
      <c r="O1167" s="18" t="s">
        <v>1529</v>
      </c>
      <c r="P1167" s="18" t="s">
        <v>2302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1262</v>
      </c>
      <c r="K1168" s="18">
        <v>9750208</v>
      </c>
      <c r="L1168" s="18">
        <v>905578</v>
      </c>
      <c r="M1168" s="18" t="s">
        <v>2909</v>
      </c>
      <c r="N1168" s="16" t="s">
        <v>2579</v>
      </c>
      <c r="O1168" s="18" t="s">
        <v>2910</v>
      </c>
      <c r="P1168" s="18" t="s">
        <v>2581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1110</v>
      </c>
      <c r="K1169" s="18">
        <v>9826691</v>
      </c>
      <c r="L1169" s="18">
        <v>907522</v>
      </c>
      <c r="M1169" s="18" t="s">
        <v>2911</v>
      </c>
      <c r="N1169" s="16" t="s">
        <v>2550</v>
      </c>
      <c r="O1169" s="18" t="s">
        <v>2912</v>
      </c>
      <c r="P1169" s="18" t="s">
        <v>1523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1077</v>
      </c>
      <c r="K1170" s="18">
        <v>9825372</v>
      </c>
      <c r="L1170" s="18">
        <v>905195</v>
      </c>
      <c r="M1170" s="18" t="s">
        <v>2913</v>
      </c>
      <c r="N1170" s="16" t="s">
        <v>2579</v>
      </c>
      <c r="O1170" s="18" t="s">
        <v>2914</v>
      </c>
      <c r="P1170" s="18" t="s">
        <v>2613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1082</v>
      </c>
      <c r="K1171" s="18">
        <v>9825820</v>
      </c>
      <c r="L1171" s="18">
        <v>905497</v>
      </c>
      <c r="M1171" s="18" t="s">
        <v>2915</v>
      </c>
      <c r="N1171" s="16" t="s">
        <v>2579</v>
      </c>
      <c r="O1171" s="18" t="s">
        <v>2916</v>
      </c>
      <c r="P1171" s="18" t="s">
        <v>2917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1082</v>
      </c>
      <c r="K1172" s="18">
        <v>9825820</v>
      </c>
      <c r="L1172" s="18">
        <v>905497</v>
      </c>
      <c r="M1172" s="18" t="s">
        <v>2915</v>
      </c>
      <c r="N1172" s="16" t="s">
        <v>2579</v>
      </c>
      <c r="O1172" s="18" t="s">
        <v>2916</v>
      </c>
      <c r="P1172" s="18" t="s">
        <v>2917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1131</v>
      </c>
      <c r="G1173" s="22">
        <v>700</v>
      </c>
      <c r="H1173" s="22"/>
      <c r="I1173" s="22">
        <f t="shared" si="19"/>
        <v>700</v>
      </c>
      <c r="J1173" s="18" t="s">
        <v>1082</v>
      </c>
      <c r="K1173" s="18">
        <v>5020332</v>
      </c>
      <c r="L1173" s="18" t="s">
        <v>1131</v>
      </c>
      <c r="M1173" s="18" t="s">
        <v>1092</v>
      </c>
      <c r="N1173" s="16" t="s">
        <v>1092</v>
      </c>
      <c r="O1173" s="18" t="s">
        <v>1092</v>
      </c>
      <c r="P1173" s="18" t="s">
        <v>1092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1196</v>
      </c>
      <c r="K1174" s="18">
        <v>9826656</v>
      </c>
      <c r="L1174" s="18">
        <v>905351</v>
      </c>
      <c r="M1174" s="18" t="s">
        <v>2918</v>
      </c>
      <c r="N1174" s="16" t="s">
        <v>2613</v>
      </c>
      <c r="O1174" s="18" t="s">
        <v>2919</v>
      </c>
      <c r="P1174" s="18" t="s">
        <v>2822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1196</v>
      </c>
      <c r="K1175" s="18">
        <v>9826681</v>
      </c>
      <c r="L1175" s="18">
        <v>907089</v>
      </c>
      <c r="M1175" s="18" t="s">
        <v>2920</v>
      </c>
      <c r="N1175" s="16" t="s">
        <v>2637</v>
      </c>
      <c r="O1175" s="18" t="s">
        <v>2921</v>
      </c>
      <c r="P1175" s="18" t="s">
        <v>1477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1196</v>
      </c>
      <c r="K1176" s="18">
        <v>9826683</v>
      </c>
      <c r="L1176" s="18">
        <v>907167</v>
      </c>
      <c r="M1176" s="18" t="s">
        <v>2922</v>
      </c>
      <c r="N1176" s="16" t="s">
        <v>2637</v>
      </c>
      <c r="O1176" s="18" t="s">
        <v>2923</v>
      </c>
      <c r="P1176" s="18" t="s">
        <v>1477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1077</v>
      </c>
      <c r="K1177" s="18">
        <v>9825379</v>
      </c>
      <c r="L1177" s="18">
        <v>905458</v>
      </c>
      <c r="M1177" s="18" t="s">
        <v>2924</v>
      </c>
      <c r="N1177" s="16" t="s">
        <v>2579</v>
      </c>
      <c r="O1177" s="18" t="s">
        <v>2925</v>
      </c>
      <c r="P1177" s="18" t="s">
        <v>2581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1077</v>
      </c>
      <c r="K1178" s="18">
        <v>9825379</v>
      </c>
      <c r="L1178" s="18">
        <v>905458</v>
      </c>
      <c r="M1178" s="18" t="s">
        <v>2924</v>
      </c>
      <c r="N1178" s="16" t="s">
        <v>2579</v>
      </c>
      <c r="O1178" s="18" t="s">
        <v>2925</v>
      </c>
      <c r="P1178" s="18" t="s">
        <v>2581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1262</v>
      </c>
      <c r="K1179" s="18">
        <v>5020274</v>
      </c>
      <c r="L1179" s="18">
        <v>905212</v>
      </c>
      <c r="M1179" s="18" t="s">
        <v>2926</v>
      </c>
      <c r="N1179" s="16" t="s">
        <v>2579</v>
      </c>
      <c r="O1179" s="18" t="s">
        <v>1293</v>
      </c>
      <c r="P1179" s="18" t="s">
        <v>2579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1262</v>
      </c>
      <c r="K1180" s="18">
        <v>5020272</v>
      </c>
      <c r="L1180" s="18">
        <v>905223</v>
      </c>
      <c r="M1180" s="18" t="s">
        <v>2927</v>
      </c>
      <c r="N1180" s="16" t="s">
        <v>2501</v>
      </c>
      <c r="O1180" s="18" t="s">
        <v>2928</v>
      </c>
      <c r="P1180" s="18" t="s">
        <v>2613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1262</v>
      </c>
      <c r="K1181" s="18">
        <v>5020272</v>
      </c>
      <c r="L1181" s="18">
        <v>905223</v>
      </c>
      <c r="M1181" s="18" t="s">
        <v>2927</v>
      </c>
      <c r="N1181" s="16" t="s">
        <v>2501</v>
      </c>
      <c r="O1181" s="18" t="s">
        <v>2928</v>
      </c>
      <c r="P1181" s="18" t="s">
        <v>2613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>
      <c r="A1182" s="16">
        <v>46120</v>
      </c>
      <c r="B1182" s="16">
        <v>46121</v>
      </c>
      <c r="C1182" s="21" t="s">
        <v>2929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1262</v>
      </c>
      <c r="K1182" s="18" t="s">
        <v>2930</v>
      </c>
      <c r="L1182" s="18">
        <v>904346</v>
      </c>
      <c r="M1182" s="18" t="s">
        <v>2931</v>
      </c>
      <c r="N1182" s="16" t="s">
        <v>2579</v>
      </c>
      <c r="O1182" s="18" t="s">
        <v>2932</v>
      </c>
      <c r="P1182" s="18" t="s">
        <v>2933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2934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1110</v>
      </c>
      <c r="K1183" s="18">
        <v>9838938</v>
      </c>
      <c r="L1183" s="18">
        <v>922535</v>
      </c>
      <c r="M1183" s="18" t="s">
        <v>2935</v>
      </c>
      <c r="N1183" s="16" t="s">
        <v>2671</v>
      </c>
      <c r="O1183" s="18" t="s">
        <v>2936</v>
      </c>
      <c r="P1183" s="18" t="s">
        <v>2937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1082</v>
      </c>
      <c r="K1184" s="18">
        <v>9838884</v>
      </c>
      <c r="L1184" s="18">
        <v>918277</v>
      </c>
      <c r="M1184" s="18" t="s">
        <v>2938</v>
      </c>
      <c r="N1184" s="16" t="s">
        <v>2603</v>
      </c>
      <c r="O1184" s="18" t="s">
        <v>2939</v>
      </c>
      <c r="P1184" s="18" t="s">
        <v>2937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2940</v>
      </c>
      <c r="G1185" s="22">
        <v>1161</v>
      </c>
      <c r="H1185" s="22">
        <v>1859.95</v>
      </c>
      <c r="I1185" s="22">
        <f t="shared" si="19"/>
        <v>3020.95</v>
      </c>
      <c r="J1185" s="18" t="s">
        <v>1082</v>
      </c>
      <c r="K1185" s="18">
        <v>9838891</v>
      </c>
      <c r="L1185" s="18">
        <v>922362</v>
      </c>
      <c r="M1185" s="18" t="s">
        <v>2941</v>
      </c>
      <c r="N1185" s="16" t="s">
        <v>2670</v>
      </c>
      <c r="O1185" s="18" t="s">
        <v>2942</v>
      </c>
      <c r="P1185" s="18" t="s">
        <v>2937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1110</v>
      </c>
      <c r="K1186" s="18">
        <v>5020460</v>
      </c>
      <c r="L1186" s="18">
        <v>918259</v>
      </c>
      <c r="M1186" s="18" t="s">
        <v>2943</v>
      </c>
      <c r="N1186" s="16" t="s">
        <v>2603</v>
      </c>
      <c r="O1186" s="18" t="s">
        <v>2944</v>
      </c>
      <c r="P1186" s="18" t="s">
        <v>2937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1110</v>
      </c>
      <c r="K1187" s="18">
        <v>9838937</v>
      </c>
      <c r="L1187" s="18">
        <v>917765</v>
      </c>
      <c r="M1187" s="18" t="s">
        <v>2945</v>
      </c>
      <c r="N1187" s="16" t="s">
        <v>2536</v>
      </c>
      <c r="O1187" s="18" t="s">
        <v>2946</v>
      </c>
      <c r="P1187" s="18" t="s">
        <v>2937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1110</v>
      </c>
      <c r="K1188" s="18">
        <v>9838935</v>
      </c>
      <c r="L1188" s="18">
        <v>918297</v>
      </c>
      <c r="M1188" s="18" t="s">
        <v>2947</v>
      </c>
      <c r="N1188" s="16" t="s">
        <v>2603</v>
      </c>
      <c r="O1188" s="18" t="s">
        <v>2948</v>
      </c>
      <c r="P1188" s="18" t="s">
        <v>2937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2949</v>
      </c>
      <c r="G1189" s="22">
        <v>200</v>
      </c>
      <c r="H1189" s="22">
        <v>2045.19</v>
      </c>
      <c r="I1189" s="22">
        <f t="shared" si="19"/>
        <v>2245.19</v>
      </c>
      <c r="J1189" s="18" t="s">
        <v>1110</v>
      </c>
      <c r="K1189" s="18">
        <v>9838881</v>
      </c>
      <c r="L1189" s="18">
        <v>922589</v>
      </c>
      <c r="M1189" s="18" t="s">
        <v>2950</v>
      </c>
      <c r="N1189" s="16" t="s">
        <v>2671</v>
      </c>
      <c r="O1189" s="18" t="s">
        <v>2951</v>
      </c>
      <c r="P1189" s="18" t="s">
        <v>2937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2952</v>
      </c>
      <c r="G1190" s="22">
        <v>1548</v>
      </c>
      <c r="H1190" s="22">
        <v>682.02</v>
      </c>
      <c r="I1190" s="22">
        <f t="shared" si="19"/>
        <v>2230.02</v>
      </c>
      <c r="J1190" s="18" t="s">
        <v>1110</v>
      </c>
      <c r="K1190" s="18">
        <v>9838934</v>
      </c>
      <c r="L1190" s="18">
        <v>922192</v>
      </c>
      <c r="M1190" s="18" t="s">
        <v>2953</v>
      </c>
      <c r="N1190" s="16" t="s">
        <v>2670</v>
      </c>
      <c r="O1190" s="18" t="s">
        <v>2954</v>
      </c>
      <c r="P1190" s="18" t="s">
        <v>2937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1110</v>
      </c>
      <c r="K1191" s="18">
        <v>9838935</v>
      </c>
      <c r="L1191" s="18">
        <v>918297</v>
      </c>
      <c r="M1191" s="18" t="s">
        <v>2947</v>
      </c>
      <c r="N1191" s="16" t="s">
        <v>2603</v>
      </c>
      <c r="O1191" s="18" t="s">
        <v>2948</v>
      </c>
      <c r="P1191" s="18" t="s">
        <v>2937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1082</v>
      </c>
      <c r="K1192" s="18">
        <v>9838884</v>
      </c>
      <c r="L1192" s="18">
        <v>918277</v>
      </c>
      <c r="M1192" s="18" t="s">
        <v>2938</v>
      </c>
      <c r="N1192" s="16" t="s">
        <v>2603</v>
      </c>
      <c r="O1192" s="18" t="s">
        <v>2939</v>
      </c>
      <c r="P1192" s="18" t="s">
        <v>2937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1110</v>
      </c>
      <c r="K1193" s="18">
        <v>9838936</v>
      </c>
      <c r="L1193" s="18">
        <v>917864</v>
      </c>
      <c r="M1193" s="18" t="s">
        <v>2955</v>
      </c>
      <c r="N1193" s="16" t="s">
        <v>2603</v>
      </c>
      <c r="O1193" s="18" t="s">
        <v>2956</v>
      </c>
      <c r="P1193" s="18" t="s">
        <v>2937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1110</v>
      </c>
      <c r="K1194" s="18" t="s">
        <v>1092</v>
      </c>
      <c r="L1194" s="18" t="s">
        <v>1092</v>
      </c>
      <c r="M1194" s="18" t="s">
        <v>2957</v>
      </c>
      <c r="N1194" s="16" t="s">
        <v>2670</v>
      </c>
      <c r="O1194" s="18" t="s">
        <v>2958</v>
      </c>
      <c r="P1194" s="18" t="s">
        <v>2538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1082</v>
      </c>
      <c r="K1195" s="18">
        <v>9838885</v>
      </c>
      <c r="L1195" s="18">
        <v>914853</v>
      </c>
      <c r="M1195" s="18" t="s">
        <v>2959</v>
      </c>
      <c r="N1195" s="16" t="s">
        <v>2860</v>
      </c>
      <c r="O1195" s="18" t="s">
        <v>2960</v>
      </c>
      <c r="P1195" s="18" t="s">
        <v>2937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2961</v>
      </c>
      <c r="G1196" s="22">
        <v>315</v>
      </c>
      <c r="H1196" s="22">
        <v>253.09</v>
      </c>
      <c r="I1196" s="22">
        <f t="shared" si="19"/>
        <v>568.09</v>
      </c>
      <c r="J1196" s="18" t="s">
        <v>1196</v>
      </c>
      <c r="K1196" s="18">
        <v>9838883</v>
      </c>
      <c r="L1196" s="18">
        <v>922086</v>
      </c>
      <c r="M1196" s="18" t="s">
        <v>2962</v>
      </c>
      <c r="N1196" s="16" t="s">
        <v>2963</v>
      </c>
      <c r="O1196" s="18" t="s">
        <v>2964</v>
      </c>
      <c r="P1196" s="18" t="s">
        <v>2937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1196</v>
      </c>
      <c r="K1197" s="18" t="s">
        <v>1092</v>
      </c>
      <c r="L1197" s="18" t="s">
        <v>1092</v>
      </c>
      <c r="M1197" s="18" t="s">
        <v>2965</v>
      </c>
      <c r="N1197" s="16" t="s">
        <v>2963</v>
      </c>
      <c r="O1197" s="18" t="s">
        <v>2966</v>
      </c>
      <c r="P1197" s="18" t="s">
        <v>2538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1110</v>
      </c>
      <c r="K1198" s="18">
        <v>9838936</v>
      </c>
      <c r="L1198" s="18">
        <v>917864</v>
      </c>
      <c r="M1198" s="18" t="s">
        <v>2955</v>
      </c>
      <c r="N1198" s="16" t="s">
        <v>2603</v>
      </c>
      <c r="O1198" s="18" t="s">
        <v>2956</v>
      </c>
      <c r="P1198" s="18" t="s">
        <v>2937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1110</v>
      </c>
      <c r="K1199" s="18" t="s">
        <v>1092</v>
      </c>
      <c r="L1199" s="18" t="s">
        <v>1092</v>
      </c>
      <c r="M1199" s="18" t="s">
        <v>1092</v>
      </c>
      <c r="N1199" s="16" t="s">
        <v>1092</v>
      </c>
      <c r="O1199" s="18" t="s">
        <v>1092</v>
      </c>
      <c r="P1199" s="18" t="s">
        <v>1092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1082</v>
      </c>
      <c r="K1200" s="18">
        <v>9838885</v>
      </c>
      <c r="L1200" s="18">
        <v>914853</v>
      </c>
      <c r="M1200" s="18" t="s">
        <v>2959</v>
      </c>
      <c r="N1200" s="16" t="s">
        <v>2860</v>
      </c>
      <c r="O1200" s="18" t="s">
        <v>2960</v>
      </c>
      <c r="P1200" s="18" t="s">
        <v>2937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1110</v>
      </c>
      <c r="K1201" s="18">
        <v>9838937</v>
      </c>
      <c r="L1201" s="18">
        <v>917765</v>
      </c>
      <c r="M1201" s="18" t="s">
        <v>2945</v>
      </c>
      <c r="N1201" s="16" t="s">
        <v>2536</v>
      </c>
      <c r="O1201" s="18" t="s">
        <v>2946</v>
      </c>
      <c r="P1201" s="18" t="s">
        <v>2937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1082</v>
      </c>
      <c r="K1202" s="18">
        <v>9825443</v>
      </c>
      <c r="L1202" s="18">
        <v>905184</v>
      </c>
      <c r="M1202" s="18" t="s">
        <v>2967</v>
      </c>
      <c r="N1202" s="16" t="s">
        <v>2579</v>
      </c>
      <c r="O1202" s="18" t="s">
        <v>2968</v>
      </c>
      <c r="P1202" s="18" t="s">
        <v>2579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1196</v>
      </c>
      <c r="K1203" s="18">
        <v>9826690</v>
      </c>
      <c r="L1203" s="18">
        <v>907498</v>
      </c>
      <c r="M1203" s="18" t="s">
        <v>2969</v>
      </c>
      <c r="N1203" s="16" t="s">
        <v>1523</v>
      </c>
      <c r="O1203" s="18" t="s">
        <v>1092</v>
      </c>
      <c r="P1203" s="18" t="s">
        <v>1092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1120</v>
      </c>
      <c r="K1204" s="18">
        <v>9825404</v>
      </c>
      <c r="L1204" s="18">
        <v>905306</v>
      </c>
      <c r="M1204" s="18" t="s">
        <v>2970</v>
      </c>
      <c r="N1204" s="16" t="s">
        <v>2579</v>
      </c>
      <c r="O1204" s="18" t="s">
        <v>2971</v>
      </c>
      <c r="P1204" s="18" t="s">
        <v>1477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>
      <c r="A1205" s="16">
        <v>46120</v>
      </c>
      <c r="B1205" s="16">
        <v>46132</v>
      </c>
      <c r="C1205" s="21" t="s">
        <v>1131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1110</v>
      </c>
      <c r="K1205" s="18">
        <v>9826763</v>
      </c>
      <c r="L1205" s="18">
        <v>907511</v>
      </c>
      <c r="M1205" s="18" t="s">
        <v>2972</v>
      </c>
      <c r="N1205" s="16" t="s">
        <v>1523</v>
      </c>
      <c r="O1205" s="18" t="s">
        <v>1092</v>
      </c>
      <c r="P1205" s="18" t="s">
        <v>1092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1196</v>
      </c>
      <c r="K1206" s="18">
        <v>5020330</v>
      </c>
      <c r="L1206" s="18">
        <v>907236</v>
      </c>
      <c r="M1206" s="18" t="s">
        <v>2973</v>
      </c>
      <c r="N1206" s="16" t="s">
        <v>2536</v>
      </c>
      <c r="O1206" s="18" t="s">
        <v>2974</v>
      </c>
      <c r="P1206" s="18" t="s">
        <v>2975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1120</v>
      </c>
      <c r="K1207" s="18">
        <v>9825368</v>
      </c>
      <c r="L1207" s="18">
        <v>905265</v>
      </c>
      <c r="M1207" s="18" t="s">
        <v>2976</v>
      </c>
      <c r="N1207" s="16" t="s">
        <v>2501</v>
      </c>
      <c r="O1207" s="18" t="s">
        <v>2977</v>
      </c>
      <c r="P1207" s="18" t="s">
        <v>1477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1120</v>
      </c>
      <c r="K1208" s="18">
        <v>9825364</v>
      </c>
      <c r="L1208" s="18">
        <v>905241</v>
      </c>
      <c r="M1208" s="18" t="s">
        <v>2978</v>
      </c>
      <c r="N1208" s="16" t="s">
        <v>2501</v>
      </c>
      <c r="O1208" s="18" t="s">
        <v>2979</v>
      </c>
      <c r="P1208" s="18" t="s">
        <v>1477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1120</v>
      </c>
      <c r="K1209" s="18">
        <v>9825365</v>
      </c>
      <c r="L1209" s="18">
        <v>905264</v>
      </c>
      <c r="M1209" s="18" t="s">
        <v>2980</v>
      </c>
      <c r="N1209" s="16" t="s">
        <v>2501</v>
      </c>
      <c r="O1209" s="18" t="s">
        <v>2981</v>
      </c>
      <c r="P1209" s="18" t="s">
        <v>2575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>
      <c r="A1210" s="16">
        <v>46120</v>
      </c>
      <c r="B1210" s="16">
        <v>46122</v>
      </c>
      <c r="C1210" s="21" t="s">
        <v>1092</v>
      </c>
      <c r="D1210" s="16" t="str">
        <f>IFERROR(VLOOKUP(Tabela5[[#This Row],[PREFIXO ]],Tabela4[#All],2,0),"CENTRO DE CUSTO")</f>
        <v>Equipamento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1082</v>
      </c>
      <c r="K1210" s="18" t="s">
        <v>1092</v>
      </c>
      <c r="L1210" s="18" t="s">
        <v>1092</v>
      </c>
      <c r="M1210" s="18" t="s">
        <v>1092</v>
      </c>
      <c r="N1210" s="16" t="s">
        <v>1092</v>
      </c>
      <c r="O1210" s="18" t="s">
        <v>1092</v>
      </c>
      <c r="P1210" s="18" t="s">
        <v>1092</v>
      </c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CONCLUÍDO</v>
      </c>
      <c r="R1210" s="36"/>
    </row>
    <row r="1211" spans="1:18">
      <c r="A1211" s="16">
        <v>46120</v>
      </c>
      <c r="B1211" s="16">
        <v>46135</v>
      </c>
      <c r="C1211" s="21" t="s">
        <v>1131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1082</v>
      </c>
      <c r="K1211" s="18">
        <v>9826699</v>
      </c>
      <c r="L1211" s="18">
        <v>915921</v>
      </c>
      <c r="M1211" s="18" t="s">
        <v>2982</v>
      </c>
      <c r="N1211" s="16" t="s">
        <v>2860</v>
      </c>
      <c r="O1211" s="18" t="s">
        <v>1092</v>
      </c>
      <c r="P1211" s="18" t="s">
        <v>1092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1262</v>
      </c>
      <c r="K1212" s="18">
        <v>9825406</v>
      </c>
      <c r="L1212" s="18">
        <v>907899</v>
      </c>
      <c r="M1212" s="18" t="s">
        <v>2983</v>
      </c>
      <c r="N1212" s="16" t="s">
        <v>2719</v>
      </c>
      <c r="O1212" s="18" t="s">
        <v>2984</v>
      </c>
      <c r="P1212" s="18" t="s">
        <v>2985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1110</v>
      </c>
      <c r="K1213" s="18">
        <v>9826695</v>
      </c>
      <c r="L1213" s="18">
        <v>907537</v>
      </c>
      <c r="M1213" s="18" t="s">
        <v>2986</v>
      </c>
      <c r="N1213" s="16" t="s">
        <v>2860</v>
      </c>
      <c r="O1213" s="18" t="s">
        <v>2987</v>
      </c>
      <c r="P1213" s="18" t="s">
        <v>2988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>
      <c r="A1214" s="16">
        <v>46120</v>
      </c>
      <c r="B1214" s="16">
        <v>46125</v>
      </c>
      <c r="C1214" s="21" t="s">
        <v>2989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1110</v>
      </c>
      <c r="K1214" s="18">
        <v>9826700</v>
      </c>
      <c r="L1214" s="18" t="s">
        <v>1092</v>
      </c>
      <c r="M1214" s="18" t="s">
        <v>2990</v>
      </c>
      <c r="N1214" s="16" t="s">
        <v>2637</v>
      </c>
      <c r="O1214" s="18" t="s">
        <v>2991</v>
      </c>
      <c r="P1214" s="18" t="s">
        <v>2299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1196</v>
      </c>
      <c r="K1215" s="18">
        <v>9826687</v>
      </c>
      <c r="L1215" s="18">
        <v>919151</v>
      </c>
      <c r="M1215" s="18" t="s">
        <v>2992</v>
      </c>
      <c r="N1215" s="16" t="s">
        <v>2993</v>
      </c>
      <c r="O1215" s="18" t="s">
        <v>2994</v>
      </c>
      <c r="P1215" s="18" t="s">
        <v>2995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1196</v>
      </c>
      <c r="K1216" s="18">
        <v>9834449</v>
      </c>
      <c r="L1216" s="18">
        <v>913835</v>
      </c>
      <c r="M1216" s="18" t="s">
        <v>2996</v>
      </c>
      <c r="N1216" s="16" t="s">
        <v>2860</v>
      </c>
      <c r="O1216" s="18" t="s">
        <v>2997</v>
      </c>
      <c r="P1216" s="18" t="s">
        <v>2998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1110</v>
      </c>
      <c r="K1217" s="18">
        <v>9825363</v>
      </c>
      <c r="L1217" s="18">
        <v>905443</v>
      </c>
      <c r="M1217" s="18" t="s">
        <v>2999</v>
      </c>
      <c r="N1217" s="16" t="s">
        <v>2579</v>
      </c>
      <c r="O1217" s="18" t="s">
        <v>3000</v>
      </c>
      <c r="P1217" s="18" t="s">
        <v>2581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1110</v>
      </c>
      <c r="K1218" s="18">
        <v>9825361</v>
      </c>
      <c r="L1218" s="18">
        <v>905386</v>
      </c>
      <c r="M1218" s="18" t="s">
        <v>3001</v>
      </c>
      <c r="N1218" s="16" t="s">
        <v>2579</v>
      </c>
      <c r="O1218" s="18" t="s">
        <v>3002</v>
      </c>
      <c r="P1218" s="18" t="s">
        <v>3003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1196</v>
      </c>
      <c r="K1219" s="18" t="s">
        <v>1131</v>
      </c>
      <c r="L1219" s="18" t="s">
        <v>1131</v>
      </c>
      <c r="M1219" s="18" t="s">
        <v>1092</v>
      </c>
      <c r="N1219" s="16" t="s">
        <v>1092</v>
      </c>
      <c r="O1219" s="18" t="s">
        <v>1092</v>
      </c>
      <c r="P1219" s="18" t="s">
        <v>1092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1262</v>
      </c>
      <c r="K1220" s="18">
        <v>9825441</v>
      </c>
      <c r="L1220" s="18">
        <v>910491</v>
      </c>
      <c r="M1220" s="18" t="s">
        <v>3004</v>
      </c>
      <c r="N1220" s="16" t="s">
        <v>2584</v>
      </c>
      <c r="O1220" s="18" t="s">
        <v>3005</v>
      </c>
      <c r="P1220" s="18" t="s">
        <v>2639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1262</v>
      </c>
      <c r="K1221" s="18">
        <v>9895416</v>
      </c>
      <c r="L1221" s="18">
        <v>910441</v>
      </c>
      <c r="M1221" s="18" t="s">
        <v>3004</v>
      </c>
      <c r="N1221" s="16" t="s">
        <v>2584</v>
      </c>
      <c r="O1221" s="18" t="s">
        <v>3005</v>
      </c>
      <c r="P1221" s="18" t="s">
        <v>2639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>
      <c r="A1222" s="16">
        <v>46120</v>
      </c>
      <c r="B1222" s="16">
        <v>46127</v>
      </c>
      <c r="C1222" s="21" t="s">
        <v>1131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1262</v>
      </c>
      <c r="K1222" s="18">
        <v>9825822</v>
      </c>
      <c r="L1222" s="18">
        <v>910455</v>
      </c>
      <c r="M1222" s="18" t="s">
        <v>3006</v>
      </c>
      <c r="N1222" s="16" t="s">
        <v>2584</v>
      </c>
      <c r="O1222" s="18" t="s">
        <v>3007</v>
      </c>
      <c r="P1222" s="18" t="s">
        <v>2639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1262</v>
      </c>
      <c r="K1223" s="18">
        <v>9835196</v>
      </c>
      <c r="L1223" s="18">
        <v>907814</v>
      </c>
      <c r="M1223" s="18" t="s">
        <v>3008</v>
      </c>
      <c r="N1223" s="16" t="s">
        <v>2860</v>
      </c>
      <c r="O1223" s="18" t="s">
        <v>3009</v>
      </c>
      <c r="P1223" s="18" t="s">
        <v>3010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>
      <c r="A1224" s="16">
        <v>46120</v>
      </c>
      <c r="B1224" s="16">
        <v>46125</v>
      </c>
      <c r="C1224" s="21" t="s">
        <v>1131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1082</v>
      </c>
      <c r="K1224" s="18">
        <v>9826702</v>
      </c>
      <c r="L1224" s="18">
        <v>907832</v>
      </c>
      <c r="M1224" s="18" t="s">
        <v>3011</v>
      </c>
      <c r="N1224" s="16" t="s">
        <v>2613</v>
      </c>
      <c r="O1224" s="18" t="s">
        <v>3012</v>
      </c>
      <c r="P1224" s="18" t="s">
        <v>3013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>
      <c r="A1225" s="16">
        <v>46122</v>
      </c>
      <c r="B1225" s="16">
        <v>46133</v>
      </c>
      <c r="C1225" s="21" t="s">
        <v>1131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1110</v>
      </c>
      <c r="K1225" s="18">
        <v>5020318</v>
      </c>
      <c r="L1225" s="18">
        <v>913765</v>
      </c>
      <c r="M1225" s="18" t="s">
        <v>3014</v>
      </c>
      <c r="N1225" s="16" t="s">
        <v>2860</v>
      </c>
      <c r="O1225" s="18" t="s">
        <v>3015</v>
      </c>
      <c r="P1225" s="18" t="s">
        <v>2670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>
      <c r="A1226" s="16">
        <v>46122</v>
      </c>
      <c r="B1226" s="16">
        <v>46135</v>
      </c>
      <c r="C1226" s="21" t="s">
        <v>1131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1110</v>
      </c>
      <c r="K1226" s="18">
        <v>9829707</v>
      </c>
      <c r="L1226" s="18">
        <v>914408</v>
      </c>
      <c r="M1226" s="18" t="s">
        <v>3016</v>
      </c>
      <c r="N1226" s="16" t="s">
        <v>2536</v>
      </c>
      <c r="O1226" s="18" t="s">
        <v>3017</v>
      </c>
      <c r="P1226" s="18" t="s">
        <v>3018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1262</v>
      </c>
      <c r="K1227" s="18" t="s">
        <v>1092</v>
      </c>
      <c r="L1227" s="18" t="s">
        <v>1092</v>
      </c>
      <c r="M1227" s="18" t="s">
        <v>1092</v>
      </c>
      <c r="N1227" s="16" t="s">
        <v>1092</v>
      </c>
      <c r="O1227" s="18" t="s">
        <v>1092</v>
      </c>
      <c r="P1227" s="18" t="s">
        <v>1092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1262</v>
      </c>
      <c r="K1228" s="18">
        <v>9829704</v>
      </c>
      <c r="L1228" s="18" t="s">
        <v>3019</v>
      </c>
      <c r="M1228" s="18" t="s">
        <v>3020</v>
      </c>
      <c r="N1228" s="16" t="s">
        <v>2536</v>
      </c>
      <c r="O1228" s="18" t="s">
        <v>3021</v>
      </c>
      <c r="P1228" s="18" t="s">
        <v>3022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1262</v>
      </c>
      <c r="K1229" s="18">
        <v>9829703</v>
      </c>
      <c r="L1229" s="18">
        <v>908929</v>
      </c>
      <c r="M1229" s="18" t="s">
        <v>3023</v>
      </c>
      <c r="N1229" s="16" t="s">
        <v>2719</v>
      </c>
      <c r="O1229" s="18" t="s">
        <v>3024</v>
      </c>
      <c r="P1229" s="18" t="s">
        <v>3025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1262</v>
      </c>
      <c r="K1230" s="18">
        <v>9829703</v>
      </c>
      <c r="L1230" s="18">
        <v>908929</v>
      </c>
      <c r="M1230" s="18" t="s">
        <v>3023</v>
      </c>
      <c r="N1230" s="16" t="s">
        <v>2719</v>
      </c>
      <c r="O1230" s="18" t="s">
        <v>3024</v>
      </c>
      <c r="P1230" s="18" t="s">
        <v>3025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1262</v>
      </c>
      <c r="K1231" s="18" t="s">
        <v>1092</v>
      </c>
      <c r="L1231" s="18" t="s">
        <v>1092</v>
      </c>
      <c r="M1231" s="18" t="s">
        <v>3026</v>
      </c>
      <c r="N1231" s="16" t="s">
        <v>3027</v>
      </c>
      <c r="O1231" s="18" t="s">
        <v>3028</v>
      </c>
      <c r="P1231" s="18" t="s">
        <v>2538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1196</v>
      </c>
      <c r="K1232" s="18" t="s">
        <v>1092</v>
      </c>
      <c r="L1232" s="18" t="s">
        <v>1092</v>
      </c>
      <c r="M1232" s="18" t="s">
        <v>3029</v>
      </c>
      <c r="N1232" s="16" t="s">
        <v>3027</v>
      </c>
      <c r="O1232" s="18" t="s">
        <v>3030</v>
      </c>
      <c r="P1232" s="18" t="s">
        <v>2538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1196</v>
      </c>
      <c r="K1233" s="18" t="s">
        <v>1092</v>
      </c>
      <c r="L1233" s="18" t="s">
        <v>1092</v>
      </c>
      <c r="M1233" s="18" t="s">
        <v>1092</v>
      </c>
      <c r="N1233" s="16" t="s">
        <v>1092</v>
      </c>
      <c r="O1233" s="18" t="s">
        <v>1092</v>
      </c>
      <c r="P1233" s="18" t="s">
        <v>1092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1196</v>
      </c>
      <c r="K1234" s="18">
        <v>9814499</v>
      </c>
      <c r="L1234" s="18">
        <v>912392</v>
      </c>
      <c r="M1234" s="18" t="s">
        <v>3031</v>
      </c>
      <c r="N1234" s="16" t="s">
        <v>2299</v>
      </c>
      <c r="O1234" s="18" t="s">
        <v>3032</v>
      </c>
      <c r="P1234" s="18" t="s">
        <v>3025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1262</v>
      </c>
      <c r="K1235" s="18" t="s">
        <v>1092</v>
      </c>
      <c r="L1235" s="18" t="s">
        <v>1092</v>
      </c>
      <c r="M1235" s="18" t="s">
        <v>1092</v>
      </c>
      <c r="N1235" s="16" t="s">
        <v>1092</v>
      </c>
      <c r="O1235" s="18" t="s">
        <v>1092</v>
      </c>
      <c r="P1235" s="18" t="s">
        <v>1092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1196</v>
      </c>
      <c r="K1236" s="18">
        <v>9814498</v>
      </c>
      <c r="L1236" s="18">
        <v>912392</v>
      </c>
      <c r="M1236" s="18" t="s">
        <v>3031</v>
      </c>
      <c r="N1236" s="16" t="s">
        <v>2299</v>
      </c>
      <c r="O1236" s="18" t="s">
        <v>3032</v>
      </c>
      <c r="P1236" s="18" t="s">
        <v>3025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1311</v>
      </c>
      <c r="G1237" s="22">
        <v>1942.56</v>
      </c>
      <c r="H1237" s="22"/>
      <c r="I1237" s="22">
        <f t="shared" si="20"/>
        <v>1942.56</v>
      </c>
      <c r="J1237" s="18" t="s">
        <v>1196</v>
      </c>
      <c r="K1237" s="18">
        <v>9829709</v>
      </c>
      <c r="L1237" s="18">
        <v>908637</v>
      </c>
      <c r="M1237" s="18" t="s">
        <v>3033</v>
      </c>
      <c r="N1237" s="16" t="s">
        <v>2613</v>
      </c>
      <c r="O1237" s="18" t="s">
        <v>1755</v>
      </c>
      <c r="P1237" s="18" t="s">
        <v>2550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>
      <c r="A1238" s="16">
        <v>46122</v>
      </c>
      <c r="B1238" s="16">
        <v>46133</v>
      </c>
      <c r="C1238" s="21" t="s">
        <v>1131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1131</v>
      </c>
      <c r="G1238" s="22">
        <v>22916</v>
      </c>
      <c r="H1238" s="22"/>
      <c r="I1238" s="22">
        <f t="shared" si="20"/>
        <v>22916</v>
      </c>
      <c r="J1238" s="18" t="s">
        <v>2461</v>
      </c>
      <c r="K1238" s="18">
        <v>9829717</v>
      </c>
      <c r="L1238" s="18">
        <v>913853</v>
      </c>
      <c r="M1238" s="18" t="s">
        <v>3034</v>
      </c>
      <c r="N1238" s="16" t="s">
        <v>2860</v>
      </c>
      <c r="O1238" s="18" t="s">
        <v>1749</v>
      </c>
      <c r="P1238" s="18" t="s">
        <v>2678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1196</v>
      </c>
      <c r="K1239" s="18">
        <v>9829713</v>
      </c>
      <c r="L1239" s="18">
        <v>909954</v>
      </c>
      <c r="M1239" s="18" t="s">
        <v>3035</v>
      </c>
      <c r="N1239" s="16" t="s">
        <v>1523</v>
      </c>
      <c r="O1239" s="18" t="s">
        <v>3036</v>
      </c>
      <c r="P1239" s="18" t="s">
        <v>2573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1196</v>
      </c>
      <c r="K1240" s="18">
        <v>9829750</v>
      </c>
      <c r="L1240" s="18">
        <v>908620</v>
      </c>
      <c r="M1240" s="18" t="s">
        <v>3037</v>
      </c>
      <c r="N1240" s="16" t="s">
        <v>2613</v>
      </c>
      <c r="O1240" s="18" t="s">
        <v>3038</v>
      </c>
      <c r="P1240" s="18" t="s">
        <v>3039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>
      <c r="A1241" s="16">
        <v>46122</v>
      </c>
      <c r="B1241" s="16">
        <v>46127</v>
      </c>
      <c r="C1241" s="21" t="s">
        <v>1131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1082</v>
      </c>
      <c r="K1241" s="18">
        <v>9829708</v>
      </c>
      <c r="L1241" s="18">
        <v>908098</v>
      </c>
      <c r="M1241" s="18" t="s">
        <v>1092</v>
      </c>
      <c r="N1241" s="16" t="s">
        <v>1092</v>
      </c>
      <c r="O1241" s="18" t="s">
        <v>1092</v>
      </c>
      <c r="P1241" s="18" t="s">
        <v>1092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1196</v>
      </c>
      <c r="K1242" s="18" t="s">
        <v>1092</v>
      </c>
      <c r="L1242" s="18" t="s">
        <v>1092</v>
      </c>
      <c r="M1242" s="18" t="s">
        <v>1092</v>
      </c>
      <c r="N1242" s="16" t="s">
        <v>1092</v>
      </c>
      <c r="O1242" s="18" t="s">
        <v>1092</v>
      </c>
      <c r="P1242" s="18" t="s">
        <v>1092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>
      <c r="A1243" s="16">
        <v>46122</v>
      </c>
      <c r="B1243" s="16">
        <v>46125</v>
      </c>
      <c r="C1243" s="21" t="s">
        <v>1131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1196</v>
      </c>
      <c r="K1243" s="18">
        <v>9827549</v>
      </c>
      <c r="L1243" s="18">
        <v>905811</v>
      </c>
      <c r="M1243" s="18" t="s">
        <v>3040</v>
      </c>
      <c r="N1243" s="16" t="s">
        <v>2579</v>
      </c>
      <c r="O1243" s="18" t="s">
        <v>3041</v>
      </c>
      <c r="P1243" s="18" t="s">
        <v>2613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1149</v>
      </c>
      <c r="K1244" s="18">
        <v>5020317</v>
      </c>
      <c r="L1244" s="18" t="s">
        <v>1092</v>
      </c>
      <c r="M1244" s="18" t="s">
        <v>1092</v>
      </c>
      <c r="N1244" s="16" t="s">
        <v>1092</v>
      </c>
      <c r="O1244" s="18" t="s">
        <v>1092</v>
      </c>
      <c r="P1244" s="18" t="s">
        <v>1092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1149</v>
      </c>
      <c r="K1245" s="18">
        <v>5020317</v>
      </c>
      <c r="L1245" s="18" t="s">
        <v>1092</v>
      </c>
      <c r="M1245" s="18" t="s">
        <v>1092</v>
      </c>
      <c r="N1245" s="16" t="s">
        <v>1092</v>
      </c>
      <c r="O1245" s="18" t="s">
        <v>1092</v>
      </c>
      <c r="P1245" s="18" t="s">
        <v>1092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>
      <c r="A1246" s="16">
        <v>46122</v>
      </c>
      <c r="B1246" s="16">
        <v>46133</v>
      </c>
      <c r="C1246" s="21" t="s">
        <v>1131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1196</v>
      </c>
      <c r="K1246" s="18">
        <v>9829705</v>
      </c>
      <c r="L1246" s="18">
        <v>913901</v>
      </c>
      <c r="M1246" s="18" t="s">
        <v>3042</v>
      </c>
      <c r="N1246" s="16" t="s">
        <v>2860</v>
      </c>
      <c r="O1246" s="18" t="s">
        <v>3043</v>
      </c>
      <c r="P1246" s="18" t="s">
        <v>3044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>
      <c r="A1247" s="16">
        <v>46122</v>
      </c>
      <c r="B1247" s="16">
        <v>46133</v>
      </c>
      <c r="C1247" s="21" t="s">
        <v>1131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1196</v>
      </c>
      <c r="K1247" s="18" t="s">
        <v>3045</v>
      </c>
      <c r="L1247" s="18">
        <v>913855</v>
      </c>
      <c r="M1247" s="18" t="s">
        <v>3046</v>
      </c>
      <c r="N1247" s="16" t="s">
        <v>2860</v>
      </c>
      <c r="O1247" s="18" t="s">
        <v>3047</v>
      </c>
      <c r="P1247" s="18" t="s">
        <v>2575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>
      <c r="A1248" s="16">
        <v>46122</v>
      </c>
      <c r="B1248" s="16">
        <v>46126</v>
      </c>
      <c r="C1248" s="21" t="s">
        <v>1131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1196</v>
      </c>
      <c r="K1248" s="18"/>
      <c r="L1248" s="18" t="s">
        <v>1092</v>
      </c>
      <c r="M1248" s="18" t="s">
        <v>1092</v>
      </c>
      <c r="N1248" s="16" t="s">
        <v>1092</v>
      </c>
      <c r="O1248" s="18" t="s">
        <v>1092</v>
      </c>
      <c r="P1248" s="18" t="s">
        <v>1092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1308</v>
      </c>
      <c r="G1249" s="22">
        <v>8325</v>
      </c>
      <c r="H1249" s="22"/>
      <c r="I1249" s="22">
        <f t="shared" si="20"/>
        <v>8325</v>
      </c>
      <c r="J1249" s="18" t="s">
        <v>1196</v>
      </c>
      <c r="K1249" s="18">
        <v>9829527</v>
      </c>
      <c r="L1249" s="18">
        <v>908660</v>
      </c>
      <c r="M1249" s="18" t="s">
        <v>3048</v>
      </c>
      <c r="N1249" s="16" t="s">
        <v>2719</v>
      </c>
      <c r="O1249" s="18" t="s">
        <v>2566</v>
      </c>
      <c r="P1249" s="18" t="s">
        <v>2536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1306</v>
      </c>
      <c r="G1250" s="22">
        <v>6975</v>
      </c>
      <c r="H1250" s="22"/>
      <c r="I1250" s="22">
        <f t="shared" si="20"/>
        <v>6975</v>
      </c>
      <c r="J1250" s="18" t="s">
        <v>1196</v>
      </c>
      <c r="K1250" s="18">
        <v>9828619</v>
      </c>
      <c r="L1250" s="18">
        <v>907044</v>
      </c>
      <c r="M1250" s="18" t="s">
        <v>3049</v>
      </c>
      <c r="N1250" s="16" t="s">
        <v>2719</v>
      </c>
      <c r="O1250" s="18" t="s">
        <v>1774</v>
      </c>
      <c r="P1250" s="18" t="s">
        <v>2536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1303</v>
      </c>
      <c r="G1251" s="22">
        <v>6975</v>
      </c>
      <c r="H1251" s="22"/>
      <c r="I1251" s="22">
        <f t="shared" si="20"/>
        <v>6975</v>
      </c>
      <c r="J1251" s="18" t="s">
        <v>1196</v>
      </c>
      <c r="K1251" s="18">
        <v>9829526</v>
      </c>
      <c r="L1251" s="18">
        <v>908660</v>
      </c>
      <c r="M1251" s="18" t="s">
        <v>3048</v>
      </c>
      <c r="N1251" s="16" t="s">
        <v>2719</v>
      </c>
      <c r="O1251" s="18" t="s">
        <v>2566</v>
      </c>
      <c r="P1251" s="18" t="s">
        <v>2536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1255</v>
      </c>
      <c r="G1252" s="22">
        <v>2188.6</v>
      </c>
      <c r="H1252" s="22"/>
      <c r="I1252" s="22">
        <f t="shared" si="20"/>
        <v>2188.6</v>
      </c>
      <c r="J1252" s="18" t="s">
        <v>1196</v>
      </c>
      <c r="K1252" s="18">
        <v>9828820</v>
      </c>
      <c r="L1252" s="18">
        <v>907044</v>
      </c>
      <c r="M1252" s="18" t="s">
        <v>3049</v>
      </c>
      <c r="N1252" s="16" t="s">
        <v>2719</v>
      </c>
      <c r="O1252" s="18" t="s">
        <v>1774</v>
      </c>
      <c r="P1252" s="18" t="s">
        <v>2536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1293</v>
      </c>
      <c r="G1253" s="22">
        <v>2163</v>
      </c>
      <c r="H1253" s="22"/>
      <c r="I1253" s="22">
        <f t="shared" si="20"/>
        <v>2163</v>
      </c>
      <c r="J1253" s="18" t="s">
        <v>1196</v>
      </c>
      <c r="K1253" s="18">
        <v>9828823</v>
      </c>
      <c r="L1253" s="18">
        <v>907044</v>
      </c>
      <c r="M1253" s="18" t="s">
        <v>3049</v>
      </c>
      <c r="N1253" s="16" t="s">
        <v>2719</v>
      </c>
      <c r="O1253" s="18" t="s">
        <v>1774</v>
      </c>
      <c r="P1253" s="18" t="s">
        <v>2536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1307</v>
      </c>
      <c r="G1254" s="22">
        <v>1753</v>
      </c>
      <c r="H1254" s="22"/>
      <c r="I1254" s="22">
        <f t="shared" si="20"/>
        <v>1753</v>
      </c>
      <c r="J1254" s="18" t="s">
        <v>1196</v>
      </c>
      <c r="K1254" s="18">
        <v>9829525</v>
      </c>
      <c r="L1254" s="18">
        <v>908660</v>
      </c>
      <c r="M1254" s="18" t="s">
        <v>3048</v>
      </c>
      <c r="N1254" s="16" t="s">
        <v>2719</v>
      </c>
      <c r="O1254" s="18" t="s">
        <v>2566</v>
      </c>
      <c r="P1254" s="18" t="s">
        <v>2536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1295</v>
      </c>
      <c r="G1255" s="22">
        <v>1361</v>
      </c>
      <c r="H1255" s="22"/>
      <c r="I1255" s="22">
        <f t="shared" si="20"/>
        <v>1361</v>
      </c>
      <c r="J1255" s="18" t="s">
        <v>1196</v>
      </c>
      <c r="K1255" s="18">
        <v>9829524</v>
      </c>
      <c r="L1255" s="18">
        <v>908660</v>
      </c>
      <c r="M1255" s="18" t="s">
        <v>3048</v>
      </c>
      <c r="N1255" s="16" t="s">
        <v>2719</v>
      </c>
      <c r="O1255" s="18" t="s">
        <v>2566</v>
      </c>
      <c r="P1255" s="18" t="s">
        <v>2536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1305</v>
      </c>
      <c r="G1256" s="22">
        <v>1248</v>
      </c>
      <c r="H1256" s="22"/>
      <c r="I1256" s="22">
        <f t="shared" si="20"/>
        <v>1248</v>
      </c>
      <c r="J1256" s="18" t="s">
        <v>1196</v>
      </c>
      <c r="K1256" s="18">
        <v>9829523</v>
      </c>
      <c r="L1256" s="18">
        <v>908660</v>
      </c>
      <c r="M1256" s="18" t="s">
        <v>3048</v>
      </c>
      <c r="N1256" s="16" t="s">
        <v>2719</v>
      </c>
      <c r="O1256" s="18" t="s">
        <v>2566</v>
      </c>
      <c r="P1256" s="18" t="s">
        <v>2536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1299</v>
      </c>
      <c r="G1257" s="22">
        <v>976.2</v>
      </c>
      <c r="H1257" s="22"/>
      <c r="I1257" s="22">
        <f t="shared" si="20"/>
        <v>976.2</v>
      </c>
      <c r="J1257" s="18" t="s">
        <v>1196</v>
      </c>
      <c r="K1257" s="18">
        <v>9828824</v>
      </c>
      <c r="L1257" s="18">
        <v>907044</v>
      </c>
      <c r="M1257" s="18" t="s">
        <v>3049</v>
      </c>
      <c r="N1257" s="16" t="s">
        <v>2719</v>
      </c>
      <c r="O1257" s="18" t="s">
        <v>1774</v>
      </c>
      <c r="P1257" s="18" t="s">
        <v>2536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1301</v>
      </c>
      <c r="G1258" s="22">
        <v>588</v>
      </c>
      <c r="H1258" s="22"/>
      <c r="I1258" s="22">
        <f t="shared" si="20"/>
        <v>588</v>
      </c>
      <c r="J1258" s="18" t="s">
        <v>1196</v>
      </c>
      <c r="K1258" s="18">
        <v>9828822</v>
      </c>
      <c r="L1258" s="18">
        <v>907044</v>
      </c>
      <c r="M1258" s="18" t="s">
        <v>3049</v>
      </c>
      <c r="N1258" s="16" t="s">
        <v>2719</v>
      </c>
      <c r="O1258" s="18" t="s">
        <v>1774</v>
      </c>
      <c r="P1258" s="18" t="s">
        <v>2536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1297</v>
      </c>
      <c r="G1259" s="22">
        <v>500</v>
      </c>
      <c r="H1259" s="22"/>
      <c r="I1259" s="22">
        <f t="shared" si="20"/>
        <v>500</v>
      </c>
      <c r="J1259" s="18" t="s">
        <v>1196</v>
      </c>
      <c r="K1259" s="18">
        <v>9829522</v>
      </c>
      <c r="L1259" s="18">
        <v>908660</v>
      </c>
      <c r="M1259" s="18" t="s">
        <v>3048</v>
      </c>
      <c r="N1259" s="16" t="s">
        <v>2719</v>
      </c>
      <c r="O1259" s="18" t="s">
        <v>2566</v>
      </c>
      <c r="P1259" s="18" t="s">
        <v>2536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3050</v>
      </c>
      <c r="G1260" s="22">
        <v>11500</v>
      </c>
      <c r="H1260" s="22"/>
      <c r="I1260" s="22">
        <f t="shared" si="20"/>
        <v>11500</v>
      </c>
      <c r="J1260" s="18" t="s">
        <v>1248</v>
      </c>
      <c r="K1260" s="18">
        <v>9830668</v>
      </c>
      <c r="L1260" s="18">
        <v>913831</v>
      </c>
      <c r="M1260" s="18" t="s">
        <v>3051</v>
      </c>
      <c r="N1260" s="16" t="s">
        <v>2860</v>
      </c>
      <c r="O1260" s="18" t="s">
        <v>3052</v>
      </c>
      <c r="P1260" s="18" t="s">
        <v>2536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3053</v>
      </c>
      <c r="G1261" s="22">
        <v>6000</v>
      </c>
      <c r="H1261" s="22"/>
      <c r="I1261" s="22">
        <f t="shared" si="20"/>
        <v>6000</v>
      </c>
      <c r="J1261" s="18" t="s">
        <v>1248</v>
      </c>
      <c r="K1261" s="18">
        <v>9830666</v>
      </c>
      <c r="L1261" s="18">
        <v>909009</v>
      </c>
      <c r="M1261" s="18" t="s">
        <v>3054</v>
      </c>
      <c r="N1261" s="16" t="s">
        <v>2719</v>
      </c>
      <c r="O1261" s="18" t="s">
        <v>3055</v>
      </c>
      <c r="P1261" s="18" t="s">
        <v>2584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1110</v>
      </c>
      <c r="K1262" s="18">
        <v>9830673</v>
      </c>
      <c r="L1262" s="18">
        <v>909152</v>
      </c>
      <c r="M1262" s="18" t="s">
        <v>3056</v>
      </c>
      <c r="N1262" s="16" t="s">
        <v>2613</v>
      </c>
      <c r="O1262" s="18" t="s">
        <v>3057</v>
      </c>
      <c r="P1262" s="18" t="s">
        <v>2584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1110</v>
      </c>
      <c r="K1263" s="18">
        <v>9830678</v>
      </c>
      <c r="L1263" s="18">
        <v>909188</v>
      </c>
      <c r="M1263" s="18" t="s">
        <v>3058</v>
      </c>
      <c r="N1263" s="16" t="s">
        <v>2613</v>
      </c>
      <c r="O1263" s="18" t="s">
        <v>3059</v>
      </c>
      <c r="P1263" s="18" t="s">
        <v>2584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1110</v>
      </c>
      <c r="K1264" s="18">
        <v>9830676</v>
      </c>
      <c r="L1264" s="18">
        <v>909128</v>
      </c>
      <c r="M1264" s="18" t="s">
        <v>3060</v>
      </c>
      <c r="N1264" s="16" t="s">
        <v>2613</v>
      </c>
      <c r="O1264" s="18" t="s">
        <v>3061</v>
      </c>
      <c r="P1264" s="18" t="s">
        <v>2584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1110</v>
      </c>
      <c r="K1265" s="18">
        <v>9830674</v>
      </c>
      <c r="L1265" s="18">
        <v>909163</v>
      </c>
      <c r="M1265" s="18" t="s">
        <v>3062</v>
      </c>
      <c r="N1265" s="16" t="s">
        <v>2613</v>
      </c>
      <c r="O1265" s="18" t="s">
        <v>3063</v>
      </c>
      <c r="P1265" s="18" t="s">
        <v>2584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3064</v>
      </c>
      <c r="G1266" s="22">
        <v>4730.7700000000004</v>
      </c>
      <c r="H1266" s="22"/>
      <c r="I1266" s="22">
        <f t="shared" si="20"/>
        <v>4730.7700000000004</v>
      </c>
      <c r="J1266" s="18" t="s">
        <v>1196</v>
      </c>
      <c r="K1266" s="18">
        <v>9826619</v>
      </c>
      <c r="L1266" s="18">
        <v>906893</v>
      </c>
      <c r="M1266" s="18" t="s">
        <v>3065</v>
      </c>
      <c r="N1266" s="16" t="s">
        <v>2613</v>
      </c>
      <c r="O1266" s="18" t="s">
        <v>3066</v>
      </c>
      <c r="P1266" s="18" t="s">
        <v>3067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1082</v>
      </c>
      <c r="K1267" s="18">
        <v>9831391</v>
      </c>
      <c r="L1267" s="18">
        <v>911786</v>
      </c>
      <c r="M1267" s="18" t="s">
        <v>3068</v>
      </c>
      <c r="N1267" s="16" t="s">
        <v>2860</v>
      </c>
      <c r="O1267" s="18" t="s">
        <v>1092</v>
      </c>
      <c r="P1267" s="18" t="s">
        <v>1092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2166</v>
      </c>
      <c r="G1268" s="22">
        <v>50581.01</v>
      </c>
      <c r="H1268" s="22"/>
      <c r="I1268" s="22">
        <f t="shared" si="20"/>
        <v>50581.01</v>
      </c>
      <c r="J1268" s="18" t="s">
        <v>1110</v>
      </c>
      <c r="K1268" s="18">
        <v>5020367</v>
      </c>
      <c r="L1268" s="18">
        <v>913774</v>
      </c>
      <c r="M1268" s="18" t="s">
        <v>3069</v>
      </c>
      <c r="N1268" s="16" t="s">
        <v>2860</v>
      </c>
      <c r="O1268" s="18" t="s">
        <v>1854</v>
      </c>
      <c r="P1268" s="18" t="s">
        <v>2860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>
      <c r="A1269" s="16">
        <v>46125</v>
      </c>
      <c r="B1269" s="16">
        <v>46126</v>
      </c>
      <c r="C1269" s="21" t="s">
        <v>3070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2162</v>
      </c>
      <c r="G1269" s="22">
        <v>1575</v>
      </c>
      <c r="H1269" s="22"/>
      <c r="I1269" s="22">
        <f t="shared" si="20"/>
        <v>1575</v>
      </c>
      <c r="J1269" s="18" t="s">
        <v>1110</v>
      </c>
      <c r="K1269" s="18" t="s">
        <v>3071</v>
      </c>
      <c r="L1269" s="18">
        <v>909127</v>
      </c>
      <c r="M1269" s="18" t="s">
        <v>3072</v>
      </c>
      <c r="N1269" s="16" t="s">
        <v>2613</v>
      </c>
      <c r="O1269" s="18" t="s">
        <v>1860</v>
      </c>
      <c r="P1269" s="18" t="s">
        <v>3073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1120</v>
      </c>
      <c r="K1270" s="18"/>
      <c r="L1270" s="18" t="s">
        <v>1092</v>
      </c>
      <c r="M1270" s="18" t="s">
        <v>1092</v>
      </c>
      <c r="N1270" s="16" t="s">
        <v>1092</v>
      </c>
      <c r="O1270" s="18" t="s">
        <v>1092</v>
      </c>
      <c r="P1270" s="18" t="s">
        <v>1092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1082</v>
      </c>
      <c r="K1271" s="18">
        <v>9831396</v>
      </c>
      <c r="L1271" s="18">
        <v>910310</v>
      </c>
      <c r="M1271" s="18" t="s">
        <v>3074</v>
      </c>
      <c r="N1271" s="16" t="s">
        <v>2719</v>
      </c>
      <c r="O1271" s="18" t="s">
        <v>3075</v>
      </c>
      <c r="P1271" s="18" t="s">
        <v>3076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1196</v>
      </c>
      <c r="K1272" s="18">
        <v>9830671</v>
      </c>
      <c r="L1272" s="18">
        <v>909067</v>
      </c>
      <c r="M1272" s="18" t="s">
        <v>3077</v>
      </c>
      <c r="N1272" s="16" t="s">
        <v>2613</v>
      </c>
      <c r="O1272" s="18" t="s">
        <v>3078</v>
      </c>
      <c r="P1272" s="18" t="s">
        <v>2538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>
      <c r="A1273" s="16">
        <v>46125</v>
      </c>
      <c r="B1273" s="16">
        <v>46125</v>
      </c>
      <c r="C1273" s="21" t="s">
        <v>3079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1196</v>
      </c>
      <c r="K1273" s="18" t="s">
        <v>3080</v>
      </c>
      <c r="L1273" s="18">
        <v>910310</v>
      </c>
      <c r="M1273" s="18" t="s">
        <v>3081</v>
      </c>
      <c r="N1273" s="16" t="s">
        <v>2584</v>
      </c>
      <c r="O1273" s="18" t="s">
        <v>2422</v>
      </c>
      <c r="P1273" s="18" t="s">
        <v>2299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1110</v>
      </c>
      <c r="K1274" s="18">
        <v>9830536</v>
      </c>
      <c r="L1274" s="18">
        <v>907855</v>
      </c>
      <c r="M1274" s="18" t="s">
        <v>3082</v>
      </c>
      <c r="N1274" s="16" t="s">
        <v>2719</v>
      </c>
      <c r="O1274" s="18" t="s">
        <v>2460</v>
      </c>
      <c r="P1274" s="18" t="s">
        <v>2584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>
      <c r="A1275" s="16">
        <v>46125</v>
      </c>
      <c r="B1275" s="16">
        <v>46126</v>
      </c>
      <c r="C1275" s="21" t="s">
        <v>3083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1120</v>
      </c>
      <c r="K1275" s="18" t="s">
        <v>3084</v>
      </c>
      <c r="L1275" s="18">
        <v>907855</v>
      </c>
      <c r="M1275" s="18" t="s">
        <v>3082</v>
      </c>
      <c r="N1275" s="16" t="s">
        <v>2719</v>
      </c>
      <c r="O1275" s="18" t="s">
        <v>2460</v>
      </c>
      <c r="P1275" s="18" t="s">
        <v>2584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1110</v>
      </c>
      <c r="K1276" s="18">
        <v>9830538</v>
      </c>
      <c r="L1276" s="18">
        <v>907855</v>
      </c>
      <c r="M1276" s="18" t="s">
        <v>3082</v>
      </c>
      <c r="N1276" s="16" t="s">
        <v>2719</v>
      </c>
      <c r="O1276" s="18" t="s">
        <v>2460</v>
      </c>
      <c r="P1276" s="18" t="s">
        <v>2584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1110</v>
      </c>
      <c r="K1277" s="18">
        <v>5020364</v>
      </c>
      <c r="L1277" s="18">
        <v>907855</v>
      </c>
      <c r="M1277" s="18" t="s">
        <v>3082</v>
      </c>
      <c r="N1277" s="16" t="s">
        <v>2719</v>
      </c>
      <c r="O1277" s="18" t="s">
        <v>2460</v>
      </c>
      <c r="P1277" s="18" t="s">
        <v>2584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1110</v>
      </c>
      <c r="K1278" s="18">
        <v>9830601</v>
      </c>
      <c r="L1278" s="18">
        <v>907855</v>
      </c>
      <c r="M1278" s="18" t="s">
        <v>3082</v>
      </c>
      <c r="N1278" s="16" t="s">
        <v>2719</v>
      </c>
      <c r="O1278" s="18" t="s">
        <v>2460</v>
      </c>
      <c r="P1278" s="18" t="s">
        <v>2584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1120</v>
      </c>
      <c r="K1279" s="18">
        <v>9830603</v>
      </c>
      <c r="L1279" s="18">
        <v>907855</v>
      </c>
      <c r="M1279" s="18" t="s">
        <v>3082</v>
      </c>
      <c r="N1279" s="16" t="s">
        <v>2719</v>
      </c>
      <c r="O1279" s="18" t="s">
        <v>2460</v>
      </c>
      <c r="P1279" s="18" t="s">
        <v>2584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1120</v>
      </c>
      <c r="K1280" s="18">
        <v>5020365</v>
      </c>
      <c r="L1280" s="18">
        <v>907855</v>
      </c>
      <c r="M1280" s="18" t="s">
        <v>3082</v>
      </c>
      <c r="N1280" s="16" t="s">
        <v>2719</v>
      </c>
      <c r="O1280" s="18" t="s">
        <v>2460</v>
      </c>
      <c r="P1280" s="18" t="s">
        <v>2584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2612</v>
      </c>
      <c r="G1281" s="22">
        <v>4050</v>
      </c>
      <c r="H1281" s="22"/>
      <c r="I1281" s="22">
        <f t="shared" si="21"/>
        <v>4050</v>
      </c>
      <c r="J1281" s="18" t="s">
        <v>1262</v>
      </c>
      <c r="K1281" s="18">
        <v>9834040</v>
      </c>
      <c r="L1281" s="18">
        <v>910129</v>
      </c>
      <c r="M1281" s="18" t="s">
        <v>3085</v>
      </c>
      <c r="N1281" s="16" t="s">
        <v>2584</v>
      </c>
      <c r="O1281" s="18" t="s">
        <v>3086</v>
      </c>
      <c r="P1281" s="18" t="s">
        <v>2584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>
      <c r="A1282" s="16">
        <v>46126</v>
      </c>
      <c r="B1282" s="16">
        <v>46127</v>
      </c>
      <c r="C1282" s="21" t="s">
        <v>3087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2461</v>
      </c>
      <c r="K1282" s="18" t="s">
        <v>3088</v>
      </c>
      <c r="L1282" s="18">
        <v>909703</v>
      </c>
      <c r="M1282" s="18" t="s">
        <v>3089</v>
      </c>
      <c r="N1282" s="16" t="s">
        <v>2584</v>
      </c>
      <c r="O1282" s="18" t="s">
        <v>3090</v>
      </c>
      <c r="P1282" s="18" t="s">
        <v>2299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1077</v>
      </c>
      <c r="K1283" s="18">
        <v>5020401</v>
      </c>
      <c r="L1283" s="18">
        <v>909225</v>
      </c>
      <c r="M1283" s="18" t="s">
        <v>3091</v>
      </c>
      <c r="N1283" s="16" t="s">
        <v>2584</v>
      </c>
      <c r="O1283" s="18" t="s">
        <v>3092</v>
      </c>
      <c r="P1283" s="18" t="s">
        <v>2299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1262</v>
      </c>
      <c r="K1284" s="18">
        <v>9834036</v>
      </c>
      <c r="L1284" s="18">
        <v>915479</v>
      </c>
      <c r="M1284" s="18" t="s">
        <v>3093</v>
      </c>
      <c r="N1284" s="16" t="s">
        <v>2536</v>
      </c>
      <c r="O1284" s="18" t="s">
        <v>3094</v>
      </c>
      <c r="P1284" s="18" t="s">
        <v>3095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1262</v>
      </c>
      <c r="K1285" s="18">
        <v>9833986</v>
      </c>
      <c r="L1285" s="18">
        <v>910094</v>
      </c>
      <c r="M1285" s="18" t="s">
        <v>3096</v>
      </c>
      <c r="N1285" s="16" t="s">
        <v>2299</v>
      </c>
      <c r="O1285" s="18" t="s">
        <v>3097</v>
      </c>
      <c r="P1285" s="18" t="s">
        <v>3098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1082</v>
      </c>
      <c r="K1286" s="18">
        <v>9834054</v>
      </c>
      <c r="L1286" s="18">
        <v>910248</v>
      </c>
      <c r="M1286" s="18" t="s">
        <v>3099</v>
      </c>
      <c r="N1286" s="16" t="s">
        <v>2584</v>
      </c>
      <c r="O1286" s="18" t="s">
        <v>3100</v>
      </c>
      <c r="P1286" s="18" t="s">
        <v>2985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1082</v>
      </c>
      <c r="K1287" s="18">
        <v>9831404</v>
      </c>
      <c r="L1287" s="18">
        <v>909643</v>
      </c>
      <c r="M1287" s="18" t="s">
        <v>3101</v>
      </c>
      <c r="N1287" s="16" t="s">
        <v>2584</v>
      </c>
      <c r="O1287" s="18" t="s">
        <v>3102</v>
      </c>
      <c r="P1287" s="18" t="s">
        <v>2639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1082</v>
      </c>
      <c r="K1288" s="18">
        <v>9831408</v>
      </c>
      <c r="L1288" s="18">
        <v>909174</v>
      </c>
      <c r="M1288" s="18" t="s">
        <v>3103</v>
      </c>
      <c r="N1288" s="16" t="s">
        <v>2584</v>
      </c>
      <c r="O1288" s="18" t="s">
        <v>3104</v>
      </c>
      <c r="P1288" s="18" t="s">
        <v>3105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1082</v>
      </c>
      <c r="K1289" s="18">
        <v>9831399</v>
      </c>
      <c r="L1289" s="18">
        <v>909715</v>
      </c>
      <c r="M1289" s="18" t="s">
        <v>3106</v>
      </c>
      <c r="N1289" s="16" t="s">
        <v>2584</v>
      </c>
      <c r="O1289" s="18" t="s">
        <v>3107</v>
      </c>
      <c r="P1289" s="18" t="s">
        <v>2639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1082</v>
      </c>
      <c r="K1290" s="18">
        <v>9834066</v>
      </c>
      <c r="L1290" s="18">
        <v>910709</v>
      </c>
      <c r="M1290" s="18" t="s">
        <v>3108</v>
      </c>
      <c r="N1290" s="16" t="s">
        <v>2584</v>
      </c>
      <c r="O1290" s="18" t="s">
        <v>3109</v>
      </c>
      <c r="P1290" s="18" t="s">
        <v>2639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1082</v>
      </c>
      <c r="K1291" s="18">
        <v>9831401</v>
      </c>
      <c r="L1291" s="18">
        <v>909662</v>
      </c>
      <c r="M1291" s="18" t="s">
        <v>3110</v>
      </c>
      <c r="N1291" s="16" t="s">
        <v>2719</v>
      </c>
      <c r="O1291" s="18" t="s">
        <v>3111</v>
      </c>
      <c r="P1291" s="18" t="s">
        <v>2639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1110</v>
      </c>
      <c r="K1292" s="18">
        <v>9835497</v>
      </c>
      <c r="L1292" s="18">
        <v>914018</v>
      </c>
      <c r="M1292" s="18" t="s">
        <v>3112</v>
      </c>
      <c r="N1292" s="16" t="s">
        <v>2860</v>
      </c>
      <c r="O1292" s="18" t="s">
        <v>3113</v>
      </c>
      <c r="P1292" s="18" t="s">
        <v>2761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1110</v>
      </c>
      <c r="K1293" s="18">
        <v>9834772</v>
      </c>
      <c r="L1293" s="18">
        <v>910564</v>
      </c>
      <c r="M1293" s="18" t="s">
        <v>3114</v>
      </c>
      <c r="N1293" s="16" t="s">
        <v>2584</v>
      </c>
      <c r="O1293" s="18" t="s">
        <v>3115</v>
      </c>
      <c r="P1293" s="18" t="s">
        <v>3116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1110</v>
      </c>
      <c r="K1294" s="18">
        <v>9834748</v>
      </c>
      <c r="L1294" s="18">
        <v>910575</v>
      </c>
      <c r="M1294" s="18" t="s">
        <v>3117</v>
      </c>
      <c r="N1294" s="16" t="s">
        <v>2299</v>
      </c>
      <c r="O1294" s="18" t="s">
        <v>3118</v>
      </c>
      <c r="P1294" s="18" t="s">
        <v>3116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1110</v>
      </c>
      <c r="K1295" s="18">
        <v>9834769</v>
      </c>
      <c r="L1295" s="18">
        <v>910385</v>
      </c>
      <c r="M1295" s="18" t="s">
        <v>3119</v>
      </c>
      <c r="N1295" s="16" t="s">
        <v>2584</v>
      </c>
      <c r="O1295" s="18" t="s">
        <v>3120</v>
      </c>
      <c r="P1295" s="18" t="s">
        <v>2678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1082</v>
      </c>
      <c r="K1296" s="18">
        <v>9835114</v>
      </c>
      <c r="L1296" s="18">
        <v>910891</v>
      </c>
      <c r="M1296" s="18" t="s">
        <v>3121</v>
      </c>
      <c r="N1296" s="16" t="s">
        <v>2299</v>
      </c>
      <c r="O1296" s="18" t="s">
        <v>3122</v>
      </c>
      <c r="P1296" s="18" t="s">
        <v>3123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1082</v>
      </c>
      <c r="K1297" s="18">
        <v>9835117</v>
      </c>
      <c r="L1297" s="18">
        <v>910980</v>
      </c>
      <c r="M1297" s="18" t="s">
        <v>3124</v>
      </c>
      <c r="N1297" s="16" t="s">
        <v>2299</v>
      </c>
      <c r="O1297" s="18" t="s">
        <v>3125</v>
      </c>
      <c r="P1297" s="18" t="s">
        <v>3013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1815</v>
      </c>
      <c r="K1298" s="18">
        <v>9834840</v>
      </c>
      <c r="L1298" s="18">
        <v>910554</v>
      </c>
      <c r="M1298" s="18" t="s">
        <v>3126</v>
      </c>
      <c r="N1298" s="16" t="s">
        <v>2299</v>
      </c>
      <c r="O1298" s="18" t="s">
        <v>2714</v>
      </c>
      <c r="P1298" s="18" t="s">
        <v>2299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2038</v>
      </c>
      <c r="G1299" s="22">
        <v>3500</v>
      </c>
      <c r="H1299" s="22"/>
      <c r="I1299" s="22">
        <f t="shared" si="21"/>
        <v>3500</v>
      </c>
      <c r="J1299" s="18" t="s">
        <v>1110</v>
      </c>
      <c r="K1299" s="18">
        <v>9834875</v>
      </c>
      <c r="L1299" s="18">
        <v>910611</v>
      </c>
      <c r="M1299" s="18" t="s">
        <v>3127</v>
      </c>
      <c r="N1299" s="16" t="s">
        <v>2584</v>
      </c>
      <c r="O1299" s="18" t="s">
        <v>3128</v>
      </c>
      <c r="P1299" s="18" t="s">
        <v>2584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1311</v>
      </c>
      <c r="G1300" s="22">
        <v>3500</v>
      </c>
      <c r="H1300" s="22"/>
      <c r="I1300" s="22">
        <f t="shared" si="21"/>
        <v>3500</v>
      </c>
      <c r="J1300" s="18" t="s">
        <v>1110</v>
      </c>
      <c r="K1300" s="18">
        <v>9834883</v>
      </c>
      <c r="L1300" s="18">
        <v>910611</v>
      </c>
      <c r="M1300" s="18" t="s">
        <v>3127</v>
      </c>
      <c r="N1300" s="16" t="s">
        <v>2584</v>
      </c>
      <c r="O1300" s="18" t="s">
        <v>3128</v>
      </c>
      <c r="P1300" s="18" t="s">
        <v>2584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1769</v>
      </c>
      <c r="G1301" s="22">
        <v>1189.8</v>
      </c>
      <c r="H1301" s="22"/>
      <c r="I1301" s="22">
        <f t="shared" si="21"/>
        <v>1189.8</v>
      </c>
      <c r="J1301" s="18" t="s">
        <v>1110</v>
      </c>
      <c r="K1301" s="18">
        <v>9834850</v>
      </c>
      <c r="L1301" s="18">
        <v>910611</v>
      </c>
      <c r="M1301" s="18" t="s">
        <v>3127</v>
      </c>
      <c r="N1301" s="16" t="s">
        <v>2584</v>
      </c>
      <c r="O1301" s="18" t="s">
        <v>3128</v>
      </c>
      <c r="P1301" s="18" t="s">
        <v>2584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3129</v>
      </c>
      <c r="G1302" s="22">
        <v>640</v>
      </c>
      <c r="H1302" s="22">
        <v>1085</v>
      </c>
      <c r="I1302" s="22">
        <f t="shared" si="21"/>
        <v>1725</v>
      </c>
      <c r="J1302" s="18" t="s">
        <v>1082</v>
      </c>
      <c r="K1302" s="18">
        <v>9835157</v>
      </c>
      <c r="L1302" s="18">
        <v>911767</v>
      </c>
      <c r="M1302" s="18" t="s">
        <v>3130</v>
      </c>
      <c r="N1302" s="16" t="s">
        <v>3039</v>
      </c>
      <c r="O1302" s="18" t="s">
        <v>3131</v>
      </c>
      <c r="P1302" s="18" t="s">
        <v>3132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1082</v>
      </c>
      <c r="K1303" s="18">
        <v>9835038</v>
      </c>
      <c r="L1303" s="18">
        <v>917196</v>
      </c>
      <c r="M1303" s="18" t="s">
        <v>3133</v>
      </c>
      <c r="N1303" s="16" t="s">
        <v>2536</v>
      </c>
      <c r="O1303" s="18" t="s">
        <v>3134</v>
      </c>
      <c r="P1303" s="18" t="s">
        <v>3135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3136</v>
      </c>
      <c r="G1304" s="22">
        <v>460</v>
      </c>
      <c r="H1304" s="22">
        <v>100</v>
      </c>
      <c r="I1304" s="22">
        <f t="shared" si="21"/>
        <v>560</v>
      </c>
      <c r="J1304" s="18" t="s">
        <v>1082</v>
      </c>
      <c r="K1304" s="18" t="s">
        <v>3137</v>
      </c>
      <c r="L1304" s="18">
        <v>911000</v>
      </c>
      <c r="M1304" s="18" t="s">
        <v>3138</v>
      </c>
      <c r="N1304" s="16" t="s">
        <v>3039</v>
      </c>
      <c r="O1304" s="18" t="s">
        <v>3139</v>
      </c>
      <c r="P1304" s="18" t="s">
        <v>3140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1082</v>
      </c>
      <c r="K1305" s="18">
        <v>9835101</v>
      </c>
      <c r="L1305" s="18">
        <v>917196</v>
      </c>
      <c r="M1305" s="18" t="s">
        <v>3133</v>
      </c>
      <c r="N1305" s="16" t="s">
        <v>2536</v>
      </c>
      <c r="O1305" s="18" t="s">
        <v>3134</v>
      </c>
      <c r="P1305" s="18" t="s">
        <v>3135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1082</v>
      </c>
      <c r="K1306" s="18">
        <v>9835083</v>
      </c>
      <c r="L1306" s="18">
        <v>917196</v>
      </c>
      <c r="M1306" s="18" t="s">
        <v>3133</v>
      </c>
      <c r="N1306" s="16" t="s">
        <v>2536</v>
      </c>
      <c r="O1306" s="18" t="s">
        <v>3134</v>
      </c>
      <c r="P1306" s="18" t="s">
        <v>3135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1196</v>
      </c>
      <c r="K1307" s="18">
        <v>9834743</v>
      </c>
      <c r="L1307" s="18">
        <v>910641</v>
      </c>
      <c r="M1307" s="18" t="s">
        <v>3141</v>
      </c>
      <c r="N1307" s="16" t="s">
        <v>2299</v>
      </c>
      <c r="O1307" s="18" t="s">
        <v>3142</v>
      </c>
      <c r="P1307" s="18" t="s">
        <v>3013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1196</v>
      </c>
      <c r="K1308" s="18">
        <v>9834892</v>
      </c>
      <c r="L1308" s="18">
        <v>912382</v>
      </c>
      <c r="M1308" s="18" t="s">
        <v>3143</v>
      </c>
      <c r="N1308" s="16" t="s">
        <v>2550</v>
      </c>
      <c r="O1308" s="18" t="s">
        <v>3144</v>
      </c>
      <c r="P1308" s="18" t="s">
        <v>3145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1120</v>
      </c>
      <c r="K1309" s="18">
        <v>9835105</v>
      </c>
      <c r="L1309" s="18">
        <v>907612</v>
      </c>
      <c r="M1309" s="18" t="s">
        <v>3146</v>
      </c>
      <c r="N1309" s="16" t="s">
        <v>2860</v>
      </c>
      <c r="O1309" s="18" t="s">
        <v>3147</v>
      </c>
      <c r="P1309" s="18" t="s">
        <v>3076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1082</v>
      </c>
      <c r="K1310" s="18">
        <v>9834905</v>
      </c>
      <c r="L1310" s="18" t="s">
        <v>1092</v>
      </c>
      <c r="M1310" s="18" t="s">
        <v>1092</v>
      </c>
      <c r="N1310" s="16" t="s">
        <v>1092</v>
      </c>
      <c r="O1310" s="18" t="s">
        <v>1092</v>
      </c>
      <c r="P1310" s="16" t="s">
        <v>1092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1110</v>
      </c>
      <c r="K1311" s="18">
        <v>9837443</v>
      </c>
      <c r="L1311" s="18">
        <v>911897</v>
      </c>
      <c r="M1311" s="18" t="s">
        <v>3148</v>
      </c>
      <c r="N1311" s="16" t="s">
        <v>2299</v>
      </c>
      <c r="O1311" s="18" t="s">
        <v>2052</v>
      </c>
      <c r="P1311" s="18" t="s">
        <v>3149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1110</v>
      </c>
      <c r="K1312" s="18">
        <v>9837427</v>
      </c>
      <c r="L1312" s="18">
        <v>911897</v>
      </c>
      <c r="M1312" s="18" t="s">
        <v>3148</v>
      </c>
      <c r="N1312" s="16" t="s">
        <v>2299</v>
      </c>
      <c r="O1312" s="18" t="s">
        <v>2052</v>
      </c>
      <c r="P1312" s="18" t="s">
        <v>3149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1110</v>
      </c>
      <c r="K1313" s="18">
        <v>9837436</v>
      </c>
      <c r="L1313" s="18">
        <v>911897</v>
      </c>
      <c r="M1313" s="18" t="s">
        <v>3148</v>
      </c>
      <c r="N1313" s="16" t="s">
        <v>2299</v>
      </c>
      <c r="O1313" s="18" t="s">
        <v>2052</v>
      </c>
      <c r="P1313" s="18" t="s">
        <v>3149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1077</v>
      </c>
      <c r="K1314" s="18">
        <v>9837525</v>
      </c>
      <c r="L1314" s="18">
        <v>911783</v>
      </c>
      <c r="M1314" s="18" t="s">
        <v>3150</v>
      </c>
      <c r="N1314" s="16" t="s">
        <v>2299</v>
      </c>
      <c r="O1314" s="18" t="s">
        <v>3151</v>
      </c>
      <c r="P1314" s="18" t="s">
        <v>2299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1110</v>
      </c>
      <c r="K1315" s="18">
        <v>9837530</v>
      </c>
      <c r="L1315" s="18">
        <v>911897</v>
      </c>
      <c r="M1315" s="18" t="s">
        <v>3148</v>
      </c>
      <c r="N1315" s="16" t="s">
        <v>2299</v>
      </c>
      <c r="O1315" s="18" t="s">
        <v>2052</v>
      </c>
      <c r="P1315" s="18" t="s">
        <v>3149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1110</v>
      </c>
      <c r="K1316" s="18">
        <v>9837446</v>
      </c>
      <c r="L1316" s="18">
        <v>911897</v>
      </c>
      <c r="M1316" s="18" t="s">
        <v>3148</v>
      </c>
      <c r="N1316" s="16" t="s">
        <v>2299</v>
      </c>
      <c r="O1316" s="18" t="s">
        <v>2052</v>
      </c>
      <c r="P1316" s="18" t="s">
        <v>3149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1077</v>
      </c>
      <c r="K1317" s="18">
        <v>9837456</v>
      </c>
      <c r="L1317" s="18">
        <v>911783</v>
      </c>
      <c r="M1317" s="18" t="s">
        <v>3150</v>
      </c>
      <c r="N1317" s="16" t="s">
        <v>2299</v>
      </c>
      <c r="O1317" s="18" t="s">
        <v>3151</v>
      </c>
      <c r="P1317" s="18" t="s">
        <v>2299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1110</v>
      </c>
      <c r="K1318" s="18">
        <v>9837449</v>
      </c>
      <c r="L1318" s="18">
        <v>911897</v>
      </c>
      <c r="M1318" s="18" t="s">
        <v>3148</v>
      </c>
      <c r="N1318" s="16" t="s">
        <v>2299</v>
      </c>
      <c r="O1318" s="18" t="s">
        <v>2052</v>
      </c>
      <c r="P1318" s="18" t="s">
        <v>3149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1077</v>
      </c>
      <c r="K1319" s="18">
        <v>9837590</v>
      </c>
      <c r="L1319" s="18">
        <v>911783</v>
      </c>
      <c r="M1319" s="18" t="s">
        <v>3150</v>
      </c>
      <c r="N1319" s="16" t="s">
        <v>2299</v>
      </c>
      <c r="O1319" s="18" t="s">
        <v>3151</v>
      </c>
      <c r="P1319" s="18" t="s">
        <v>2299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1110</v>
      </c>
      <c r="K1320" s="18">
        <v>9837453</v>
      </c>
      <c r="L1320" s="18">
        <v>911897</v>
      </c>
      <c r="M1320" s="18" t="s">
        <v>3148</v>
      </c>
      <c r="N1320" s="16" t="s">
        <v>2299</v>
      </c>
      <c r="O1320" s="18" t="s">
        <v>2052</v>
      </c>
      <c r="P1320" s="18" t="s">
        <v>3149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1077</v>
      </c>
      <c r="K1321" s="18">
        <v>9833536</v>
      </c>
      <c r="L1321" s="18">
        <v>911783</v>
      </c>
      <c r="M1321" s="18" t="s">
        <v>3150</v>
      </c>
      <c r="N1321" s="16" t="s">
        <v>2299</v>
      </c>
      <c r="O1321" s="18" t="s">
        <v>3151</v>
      </c>
      <c r="P1321" s="18" t="s">
        <v>2299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1077</v>
      </c>
      <c r="K1322" s="18">
        <v>9837529</v>
      </c>
      <c r="L1322" s="18">
        <v>911783</v>
      </c>
      <c r="M1322" s="18" t="s">
        <v>3150</v>
      </c>
      <c r="N1322" s="16" t="s">
        <v>2299</v>
      </c>
      <c r="O1322" s="18" t="s">
        <v>3151</v>
      </c>
      <c r="P1322" s="18" t="s">
        <v>2299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1082</v>
      </c>
      <c r="K1323" s="18">
        <v>9837587</v>
      </c>
      <c r="L1323" s="18">
        <v>911783</v>
      </c>
      <c r="M1323" s="18" t="s">
        <v>3150</v>
      </c>
      <c r="N1323" s="16" t="s">
        <v>2299</v>
      </c>
      <c r="O1323" s="18" t="s">
        <v>3151</v>
      </c>
      <c r="P1323" s="18" t="s">
        <v>2299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1077</v>
      </c>
      <c r="K1324" s="18">
        <v>9837521</v>
      </c>
      <c r="L1324" s="18">
        <v>911783</v>
      </c>
      <c r="M1324" s="18" t="s">
        <v>3150</v>
      </c>
      <c r="N1324" s="16" t="s">
        <v>2299</v>
      </c>
      <c r="O1324" s="18" t="s">
        <v>3151</v>
      </c>
      <c r="P1324" s="18" t="s">
        <v>2299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1120</v>
      </c>
      <c r="K1325" s="18"/>
      <c r="L1325" s="18" t="s">
        <v>1092</v>
      </c>
      <c r="M1325" s="18" t="s">
        <v>1092</v>
      </c>
      <c r="N1325" s="16" t="s">
        <v>1092</v>
      </c>
      <c r="O1325" s="18" t="s">
        <v>1092</v>
      </c>
      <c r="P1325" s="16" t="s">
        <v>1092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1262</v>
      </c>
      <c r="K1326" s="18">
        <v>5020411</v>
      </c>
      <c r="L1326" s="18">
        <v>910868</v>
      </c>
      <c r="M1326" s="18" t="s">
        <v>3152</v>
      </c>
      <c r="N1326" s="16" t="s">
        <v>2299</v>
      </c>
      <c r="O1326" s="18" t="s">
        <v>3153</v>
      </c>
      <c r="P1326" s="18" t="s">
        <v>2299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1120</v>
      </c>
      <c r="K1327" s="18">
        <v>5020412</v>
      </c>
      <c r="L1327" s="18">
        <v>911971</v>
      </c>
      <c r="M1327" s="18" t="s">
        <v>3154</v>
      </c>
      <c r="N1327" s="16" t="s">
        <v>2299</v>
      </c>
      <c r="O1327" s="18" t="s">
        <v>2472</v>
      </c>
      <c r="P1327" s="18" t="s">
        <v>1523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3155</v>
      </c>
      <c r="G1328" s="22">
        <v>6959.7</v>
      </c>
      <c r="H1328" s="22">
        <v>9969.44</v>
      </c>
      <c r="I1328" s="22">
        <f t="shared" si="21"/>
        <v>16929.14</v>
      </c>
      <c r="J1328" s="18" t="s">
        <v>1082</v>
      </c>
      <c r="K1328" s="18">
        <v>9838602</v>
      </c>
      <c r="L1328" s="18">
        <v>912080</v>
      </c>
      <c r="M1328" s="18" t="s">
        <v>3156</v>
      </c>
      <c r="N1328" s="16" t="s">
        <v>2548</v>
      </c>
      <c r="O1328" s="18" t="s">
        <v>3157</v>
      </c>
      <c r="P1328" s="18" t="s">
        <v>3025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3158</v>
      </c>
      <c r="G1329" s="22">
        <v>198</v>
      </c>
      <c r="H1329" s="22">
        <v>212.1</v>
      </c>
      <c r="I1329" s="22">
        <f t="shared" si="21"/>
        <v>410.1</v>
      </c>
      <c r="J1329" s="18" t="s">
        <v>1196</v>
      </c>
      <c r="K1329" s="18">
        <v>9838625</v>
      </c>
      <c r="L1329" s="18">
        <v>912215</v>
      </c>
      <c r="M1329" s="18" t="s">
        <v>3159</v>
      </c>
      <c r="N1329" s="16" t="s">
        <v>2548</v>
      </c>
      <c r="O1329" s="18" t="s">
        <v>3160</v>
      </c>
      <c r="P1329" s="18" t="s">
        <v>3025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3015</v>
      </c>
      <c r="G1330" s="22">
        <v>8875</v>
      </c>
      <c r="H1330" s="22"/>
      <c r="I1330" s="22">
        <f t="shared" si="21"/>
        <v>8875</v>
      </c>
      <c r="J1330" s="18" t="s">
        <v>1196</v>
      </c>
      <c r="K1330" s="18">
        <v>9838543</v>
      </c>
      <c r="L1330" s="18">
        <v>912331</v>
      </c>
      <c r="M1330" s="18" t="s">
        <v>3161</v>
      </c>
      <c r="N1330" s="16" t="s">
        <v>2548</v>
      </c>
      <c r="O1330" s="18" t="s">
        <v>2566</v>
      </c>
      <c r="P1330" s="18" t="s">
        <v>2550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2038</v>
      </c>
      <c r="G1331" s="22">
        <v>1780.38</v>
      </c>
      <c r="H1331" s="22"/>
      <c r="I1331" s="22">
        <f t="shared" si="21"/>
        <v>1780.38</v>
      </c>
      <c r="J1331" s="18" t="s">
        <v>1196</v>
      </c>
      <c r="K1331" s="18">
        <v>9838453</v>
      </c>
      <c r="L1331" s="18">
        <v>912331</v>
      </c>
      <c r="M1331" s="18" t="s">
        <v>3161</v>
      </c>
      <c r="N1331" s="16" t="s">
        <v>2548</v>
      </c>
      <c r="O1331" s="18" t="s">
        <v>2566</v>
      </c>
      <c r="P1331" s="18" t="s">
        <v>2550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3162</v>
      </c>
      <c r="G1332" s="22">
        <v>1740.6</v>
      </c>
      <c r="H1332" s="22"/>
      <c r="I1332" s="22">
        <f t="shared" si="21"/>
        <v>1740.6</v>
      </c>
      <c r="J1332" s="18" t="s">
        <v>1196</v>
      </c>
      <c r="K1332" s="18">
        <v>9838458</v>
      </c>
      <c r="L1332" s="18">
        <v>912331</v>
      </c>
      <c r="M1332" s="18" t="s">
        <v>3161</v>
      </c>
      <c r="N1332" s="16" t="s">
        <v>2548</v>
      </c>
      <c r="O1332" s="18" t="s">
        <v>2566</v>
      </c>
      <c r="P1332" s="18" t="s">
        <v>2550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3163</v>
      </c>
      <c r="G1333" s="22">
        <v>1588.5</v>
      </c>
      <c r="H1333" s="22"/>
      <c r="I1333" s="22">
        <f t="shared" si="21"/>
        <v>1588.5</v>
      </c>
      <c r="J1333" s="18" t="s">
        <v>1196</v>
      </c>
      <c r="K1333" s="18">
        <v>9838541</v>
      </c>
      <c r="L1333" s="18">
        <v>912331</v>
      </c>
      <c r="M1333" s="18" t="s">
        <v>3161</v>
      </c>
      <c r="N1333" s="16" t="s">
        <v>2548</v>
      </c>
      <c r="O1333" s="18" t="s">
        <v>2566</v>
      </c>
      <c r="P1333" s="18" t="s">
        <v>2550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2814</v>
      </c>
      <c r="G1334" s="22">
        <v>1372</v>
      </c>
      <c r="H1334" s="22"/>
      <c r="I1334" s="22">
        <f t="shared" si="21"/>
        <v>1372</v>
      </c>
      <c r="J1334" s="18" t="s">
        <v>1196</v>
      </c>
      <c r="K1334" s="18">
        <v>9838459</v>
      </c>
      <c r="L1334" s="18">
        <v>912331</v>
      </c>
      <c r="M1334" s="18" t="s">
        <v>3161</v>
      </c>
      <c r="N1334" s="16" t="s">
        <v>2548</v>
      </c>
      <c r="O1334" s="18" t="s">
        <v>2566</v>
      </c>
      <c r="P1334" s="18" t="s">
        <v>2550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2487</v>
      </c>
      <c r="G1335" s="22">
        <v>1161.9000000000001</v>
      </c>
      <c r="H1335" s="22"/>
      <c r="I1335" s="22">
        <f t="shared" si="21"/>
        <v>1161.9000000000001</v>
      </c>
      <c r="J1335" s="18" t="s">
        <v>1196</v>
      </c>
      <c r="K1335" s="18">
        <v>9838544</v>
      </c>
      <c r="L1335" s="18">
        <v>911828</v>
      </c>
      <c r="M1335" s="18" t="s">
        <v>3164</v>
      </c>
      <c r="N1335" s="16" t="s">
        <v>2299</v>
      </c>
      <c r="O1335" s="18" t="s">
        <v>1755</v>
      </c>
      <c r="P1335" s="18" t="s">
        <v>2299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1769</v>
      </c>
      <c r="G1336" s="22">
        <v>935</v>
      </c>
      <c r="H1336" s="22"/>
      <c r="I1336" s="22">
        <f t="shared" si="21"/>
        <v>935</v>
      </c>
      <c r="J1336" s="18" t="s">
        <v>1196</v>
      </c>
      <c r="K1336" s="18">
        <v>9838457</v>
      </c>
      <c r="L1336" s="18">
        <v>912331</v>
      </c>
      <c r="M1336" s="18" t="s">
        <v>3161</v>
      </c>
      <c r="N1336" s="16" t="s">
        <v>2548</v>
      </c>
      <c r="O1336" s="18" t="s">
        <v>2566</v>
      </c>
      <c r="P1336" s="18" t="s">
        <v>2550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1082</v>
      </c>
      <c r="K1337" s="18">
        <v>9838612</v>
      </c>
      <c r="L1337" s="18">
        <v>912233</v>
      </c>
      <c r="M1337" s="18" t="s">
        <v>3165</v>
      </c>
      <c r="N1337" s="16" t="s">
        <v>2548</v>
      </c>
      <c r="O1337" s="18" t="s">
        <v>3166</v>
      </c>
      <c r="P1337" s="18" t="s">
        <v>3167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1082</v>
      </c>
      <c r="K1338" s="18">
        <v>9838614</v>
      </c>
      <c r="L1338" s="18">
        <v>911982</v>
      </c>
      <c r="M1338" s="18" t="s">
        <v>3168</v>
      </c>
      <c r="N1338" s="16" t="s">
        <v>2299</v>
      </c>
      <c r="O1338" s="18" t="s">
        <v>3169</v>
      </c>
      <c r="P1338" s="18" t="s">
        <v>3170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1082</v>
      </c>
      <c r="K1339" s="18">
        <v>9838617</v>
      </c>
      <c r="L1339" s="18">
        <v>911982</v>
      </c>
      <c r="M1339" s="18" t="s">
        <v>3168</v>
      </c>
      <c r="N1339" s="16" t="s">
        <v>2299</v>
      </c>
      <c r="O1339" s="18" t="s">
        <v>3169</v>
      </c>
      <c r="P1339" s="18" t="s">
        <v>3170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1082</v>
      </c>
      <c r="K1340" s="18">
        <v>9838608</v>
      </c>
      <c r="L1340" s="18">
        <v>911982</v>
      </c>
      <c r="M1340" s="18" t="s">
        <v>3168</v>
      </c>
      <c r="N1340" s="16" t="s">
        <v>2299</v>
      </c>
      <c r="O1340" s="18" t="s">
        <v>3169</v>
      </c>
      <c r="P1340" s="18" t="s">
        <v>3170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1082</v>
      </c>
      <c r="K1341" s="18">
        <v>9838610</v>
      </c>
      <c r="L1341" s="18">
        <v>911982</v>
      </c>
      <c r="M1341" s="18" t="s">
        <v>3168</v>
      </c>
      <c r="N1341" s="16" t="s">
        <v>2299</v>
      </c>
      <c r="O1341" s="18" t="s">
        <v>3169</v>
      </c>
      <c r="P1341" s="18" t="s">
        <v>3170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1082</v>
      </c>
      <c r="K1342" s="18" t="s">
        <v>3171</v>
      </c>
      <c r="L1342" s="18">
        <v>912407</v>
      </c>
      <c r="M1342" s="18" t="s">
        <v>3172</v>
      </c>
      <c r="N1342" s="16" t="s">
        <v>2860</v>
      </c>
      <c r="O1342" s="18" t="s">
        <v>3173</v>
      </c>
      <c r="P1342" s="18" t="s">
        <v>3018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1082</v>
      </c>
      <c r="K1343" s="18">
        <v>9838607</v>
      </c>
      <c r="L1343" s="18">
        <v>912082</v>
      </c>
      <c r="M1343" s="18" t="s">
        <v>3174</v>
      </c>
      <c r="N1343" s="16" t="s">
        <v>2548</v>
      </c>
      <c r="O1343" s="18" t="s">
        <v>1092</v>
      </c>
      <c r="P1343" s="16" t="s">
        <v>1092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1082</v>
      </c>
      <c r="K1344" s="18">
        <v>9838455</v>
      </c>
      <c r="L1344" s="18">
        <v>912072</v>
      </c>
      <c r="M1344" s="18" t="s">
        <v>3175</v>
      </c>
      <c r="N1344" s="16" t="s">
        <v>2299</v>
      </c>
      <c r="O1344" s="18" t="s">
        <v>3176</v>
      </c>
      <c r="P1344" s="18" t="s">
        <v>1477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1082</v>
      </c>
      <c r="K1345" s="18">
        <v>9838454</v>
      </c>
      <c r="L1345" s="18">
        <v>912058</v>
      </c>
      <c r="M1345" s="18" t="s">
        <v>3177</v>
      </c>
      <c r="N1345" s="16" t="s">
        <v>2299</v>
      </c>
      <c r="O1345" s="18" t="s">
        <v>3178</v>
      </c>
      <c r="P1345" s="18" t="s">
        <v>2860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1196</v>
      </c>
      <c r="K1346" s="18">
        <v>5020416</v>
      </c>
      <c r="L1346" s="18">
        <v>913841</v>
      </c>
      <c r="M1346" s="18" t="s">
        <v>3179</v>
      </c>
      <c r="N1346" s="16" t="s">
        <v>2860</v>
      </c>
      <c r="O1346" s="18" t="s">
        <v>3180</v>
      </c>
      <c r="P1346" s="18" t="s">
        <v>2575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>
      <c r="A1347" s="16">
        <v>46129</v>
      </c>
      <c r="B1347" s="16">
        <v>46129</v>
      </c>
      <c r="C1347" s="21" t="s">
        <v>3181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2172</v>
      </c>
      <c r="G1347" s="22">
        <v>22469.4</v>
      </c>
      <c r="H1347" s="22"/>
      <c r="I1347" s="22">
        <f t="shared" si="22"/>
        <v>22469.4</v>
      </c>
      <c r="J1347" s="18" t="s">
        <v>1196</v>
      </c>
      <c r="K1347" s="18" t="s">
        <v>3182</v>
      </c>
      <c r="L1347" s="18">
        <v>912065</v>
      </c>
      <c r="M1347" s="18" t="s">
        <v>3183</v>
      </c>
      <c r="N1347" s="16" t="s">
        <v>2299</v>
      </c>
      <c r="O1347" s="18" t="s">
        <v>1858</v>
      </c>
      <c r="P1347" s="18" t="s">
        <v>1523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2164</v>
      </c>
      <c r="G1348" s="22">
        <v>936.9</v>
      </c>
      <c r="H1348" s="22"/>
      <c r="I1348" s="22">
        <f t="shared" si="22"/>
        <v>936.9</v>
      </c>
      <c r="J1348" s="18" t="s">
        <v>1196</v>
      </c>
      <c r="K1348" s="18">
        <v>9838550</v>
      </c>
      <c r="L1348" s="18">
        <v>911828</v>
      </c>
      <c r="M1348" s="18" t="s">
        <v>3164</v>
      </c>
      <c r="N1348" s="16" t="s">
        <v>2299</v>
      </c>
      <c r="O1348" s="18" t="s">
        <v>1755</v>
      </c>
      <c r="P1348" s="18" t="s">
        <v>2299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2168</v>
      </c>
      <c r="G1349" s="22">
        <v>833</v>
      </c>
      <c r="H1349" s="22"/>
      <c r="I1349" s="22">
        <f t="shared" si="22"/>
        <v>833</v>
      </c>
      <c r="J1349" s="18" t="s">
        <v>1196</v>
      </c>
      <c r="K1349" s="18">
        <v>9838556</v>
      </c>
      <c r="L1349" s="18">
        <v>911828</v>
      </c>
      <c r="M1349" s="18" t="s">
        <v>3164</v>
      </c>
      <c r="N1349" s="16" t="s">
        <v>2299</v>
      </c>
      <c r="O1349" s="18" t="s">
        <v>1755</v>
      </c>
      <c r="P1349" s="18" t="s">
        <v>2299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1082</v>
      </c>
      <c r="K1350" s="18">
        <v>9840445</v>
      </c>
      <c r="L1350" s="18">
        <v>917691</v>
      </c>
      <c r="M1350" s="18" t="s">
        <v>3184</v>
      </c>
      <c r="N1350" s="16" t="s">
        <v>2603</v>
      </c>
      <c r="O1350" s="18" t="s">
        <v>3185</v>
      </c>
      <c r="P1350" s="18" t="s">
        <v>3186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1082</v>
      </c>
      <c r="K1351" s="18">
        <v>9840448</v>
      </c>
      <c r="L1351" s="18">
        <v>918402</v>
      </c>
      <c r="M1351" s="18" t="s">
        <v>3187</v>
      </c>
      <c r="N1351" s="16" t="s">
        <v>2993</v>
      </c>
      <c r="O1351" s="18" t="s">
        <v>3188</v>
      </c>
      <c r="P1351" s="18" t="s">
        <v>3189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1082</v>
      </c>
      <c r="K1352" s="18">
        <v>9840439</v>
      </c>
      <c r="L1352" s="18">
        <v>9840439</v>
      </c>
      <c r="M1352" s="18" t="s">
        <v>3190</v>
      </c>
      <c r="N1352" s="16" t="s">
        <v>1092</v>
      </c>
      <c r="O1352" s="18" t="s">
        <v>1092</v>
      </c>
      <c r="P1352" s="18" t="s">
        <v>1092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1082</v>
      </c>
      <c r="K1353" s="18">
        <v>9840441</v>
      </c>
      <c r="L1353" s="18">
        <v>914907</v>
      </c>
      <c r="M1353" s="18" t="s">
        <v>3191</v>
      </c>
      <c r="N1353" s="16" t="s">
        <v>2860</v>
      </c>
      <c r="O1353" s="18" t="s">
        <v>3192</v>
      </c>
      <c r="P1353" s="18" t="s">
        <v>2860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1262</v>
      </c>
      <c r="K1354" s="18">
        <v>9840313</v>
      </c>
      <c r="L1354" s="18">
        <v>914031</v>
      </c>
      <c r="M1354" s="18" t="s">
        <v>3193</v>
      </c>
      <c r="N1354" s="16" t="s">
        <v>1523</v>
      </c>
      <c r="O1354" s="18" t="s">
        <v>3194</v>
      </c>
      <c r="P1354" s="18" t="s">
        <v>2621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1262</v>
      </c>
      <c r="K1355" s="18">
        <v>9840313</v>
      </c>
      <c r="L1355" s="18">
        <v>914031</v>
      </c>
      <c r="M1355" s="18" t="s">
        <v>3193</v>
      </c>
      <c r="N1355" s="16" t="s">
        <v>1523</v>
      </c>
      <c r="O1355" s="18" t="s">
        <v>3194</v>
      </c>
      <c r="P1355" s="18" t="s">
        <v>2621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>
      <c r="A1356" s="16">
        <v>46132</v>
      </c>
      <c r="B1356" s="16">
        <v>46133</v>
      </c>
      <c r="C1356" s="21" t="s">
        <v>3195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2880</v>
      </c>
      <c r="G1356" s="22">
        <v>8000</v>
      </c>
      <c r="H1356" s="22"/>
      <c r="I1356" s="22">
        <f t="shared" si="22"/>
        <v>8000</v>
      </c>
      <c r="J1356" s="18" t="s">
        <v>1262</v>
      </c>
      <c r="K1356" s="18">
        <v>5020468</v>
      </c>
      <c r="L1356" s="18">
        <v>913115</v>
      </c>
      <c r="M1356" s="18" t="s">
        <v>3196</v>
      </c>
      <c r="N1356" s="16" t="s">
        <v>2860</v>
      </c>
      <c r="O1356" s="18" t="s">
        <v>3197</v>
      </c>
      <c r="P1356" s="18" t="s">
        <v>2860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>
      <c r="A1357" s="16">
        <v>46132</v>
      </c>
      <c r="B1357" s="16">
        <v>46133</v>
      </c>
      <c r="C1357" s="21" t="s">
        <v>3195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2882</v>
      </c>
      <c r="G1357" s="22">
        <v>5000</v>
      </c>
      <c r="H1357" s="22"/>
      <c r="I1357" s="22">
        <f t="shared" si="22"/>
        <v>5000</v>
      </c>
      <c r="J1357" s="18" t="s">
        <v>1262</v>
      </c>
      <c r="K1357" s="18">
        <v>5020469</v>
      </c>
      <c r="L1357" s="18">
        <v>913115</v>
      </c>
      <c r="M1357" s="18" t="s">
        <v>3196</v>
      </c>
      <c r="N1357" s="16" t="s">
        <v>2860</v>
      </c>
      <c r="O1357" s="18" t="s">
        <v>3197</v>
      </c>
      <c r="P1357" s="18" t="s">
        <v>2860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2873</v>
      </c>
      <c r="G1358" s="22">
        <v>900</v>
      </c>
      <c r="H1358" s="22"/>
      <c r="I1358" s="22">
        <f t="shared" si="22"/>
        <v>900</v>
      </c>
      <c r="J1358" s="18" t="s">
        <v>1262</v>
      </c>
      <c r="K1358" s="18">
        <v>9840301</v>
      </c>
      <c r="L1358" s="18">
        <v>913115</v>
      </c>
      <c r="M1358" s="18" t="s">
        <v>3196</v>
      </c>
      <c r="N1358" s="16" t="s">
        <v>2860</v>
      </c>
      <c r="O1358" s="18" t="s">
        <v>3197</v>
      </c>
      <c r="P1358" s="18" t="s">
        <v>2860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1082</v>
      </c>
      <c r="K1359" s="18">
        <v>9840427</v>
      </c>
      <c r="L1359" s="18">
        <v>914064</v>
      </c>
      <c r="M1359" s="18" t="s">
        <v>3198</v>
      </c>
      <c r="N1359" s="16" t="s">
        <v>2860</v>
      </c>
      <c r="O1359" s="18" t="s">
        <v>3199</v>
      </c>
      <c r="P1359" s="18" t="s">
        <v>1477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1082</v>
      </c>
      <c r="K1360" s="18">
        <v>9840410</v>
      </c>
      <c r="L1360" s="18">
        <v>914052</v>
      </c>
      <c r="M1360" s="18" t="s">
        <v>3200</v>
      </c>
      <c r="N1360" s="16" t="s">
        <v>2860</v>
      </c>
      <c r="O1360" s="18" t="s">
        <v>2416</v>
      </c>
      <c r="P1360" s="18" t="s">
        <v>2860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1120</v>
      </c>
      <c r="K1361" s="18">
        <v>9835240</v>
      </c>
      <c r="L1361" s="18">
        <v>910537</v>
      </c>
      <c r="M1361" s="18" t="s">
        <v>1092</v>
      </c>
      <c r="N1361" s="16" t="s">
        <v>1092</v>
      </c>
      <c r="O1361" s="18" t="s">
        <v>1092</v>
      </c>
      <c r="P1361" s="16" t="s">
        <v>1092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3201</v>
      </c>
    </row>
    <row r="1362" spans="1:18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1248</v>
      </c>
      <c r="K1362" s="18">
        <v>9834848</v>
      </c>
      <c r="L1362" s="18">
        <v>913770</v>
      </c>
      <c r="M1362" s="18" t="s">
        <v>3202</v>
      </c>
      <c r="N1362" s="16" t="s">
        <v>1523</v>
      </c>
      <c r="O1362" s="18" t="s">
        <v>3203</v>
      </c>
      <c r="P1362" s="18" t="s">
        <v>2670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>
      <c r="A1363" s="16">
        <v>46132</v>
      </c>
      <c r="B1363" s="16">
        <v>46133</v>
      </c>
      <c r="C1363" s="21" t="s">
        <v>3204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1120</v>
      </c>
      <c r="K1363" s="18" t="s">
        <v>3205</v>
      </c>
      <c r="L1363" s="18">
        <v>914046</v>
      </c>
      <c r="M1363" s="18" t="s">
        <v>3206</v>
      </c>
      <c r="N1363" s="16" t="s">
        <v>2860</v>
      </c>
      <c r="O1363" s="18" t="s">
        <v>1755</v>
      </c>
      <c r="P1363" s="18" t="s">
        <v>2963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1120</v>
      </c>
      <c r="K1364" s="18">
        <v>9840304</v>
      </c>
      <c r="L1364" s="18">
        <v>914046</v>
      </c>
      <c r="M1364" s="18" t="s">
        <v>3206</v>
      </c>
      <c r="N1364" s="16" t="s">
        <v>2860</v>
      </c>
      <c r="O1364" s="18" t="s">
        <v>1755</v>
      </c>
      <c r="P1364" s="18" t="s">
        <v>2963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1120</v>
      </c>
      <c r="K1365" s="18">
        <v>9840303</v>
      </c>
      <c r="L1365" s="18">
        <v>914046</v>
      </c>
      <c r="M1365" s="18" t="s">
        <v>3206</v>
      </c>
      <c r="N1365" s="16" t="s">
        <v>2860</v>
      </c>
      <c r="O1365" s="18" t="s">
        <v>1755</v>
      </c>
      <c r="P1365" s="18" t="s">
        <v>2963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1120</v>
      </c>
      <c r="K1366" s="18">
        <v>9840311</v>
      </c>
      <c r="L1366" s="18">
        <v>914046</v>
      </c>
      <c r="M1366" s="18" t="s">
        <v>3206</v>
      </c>
      <c r="N1366" s="16" t="s">
        <v>2860</v>
      </c>
      <c r="O1366" s="18" t="s">
        <v>1755</v>
      </c>
      <c r="P1366" s="18" t="s">
        <v>2963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1120</v>
      </c>
      <c r="K1367" s="18">
        <v>9840305</v>
      </c>
      <c r="L1367" s="18">
        <v>914046</v>
      </c>
      <c r="M1367" s="18" t="s">
        <v>3206</v>
      </c>
      <c r="N1367" s="16" t="s">
        <v>2860</v>
      </c>
      <c r="O1367" s="18" t="s">
        <v>1755</v>
      </c>
      <c r="P1367" s="18" t="s">
        <v>2963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>
      <c r="A1368" s="16">
        <v>46132</v>
      </c>
      <c r="B1368" s="16">
        <v>46133</v>
      </c>
      <c r="C1368" s="21" t="s">
        <v>3207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1120</v>
      </c>
      <c r="K1368" s="18" t="s">
        <v>3208</v>
      </c>
      <c r="L1368" s="18">
        <v>914046</v>
      </c>
      <c r="M1368" s="18" t="s">
        <v>3206</v>
      </c>
      <c r="N1368" s="16" t="s">
        <v>2860</v>
      </c>
      <c r="O1368" s="18" t="s">
        <v>1755</v>
      </c>
      <c r="P1368" s="18" t="s">
        <v>2963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1196</v>
      </c>
      <c r="K1369" s="18">
        <v>9840353</v>
      </c>
      <c r="L1369" s="18">
        <v>914072</v>
      </c>
      <c r="M1369" s="18" t="s">
        <v>3209</v>
      </c>
      <c r="N1369" s="16" t="s">
        <v>3210</v>
      </c>
      <c r="O1369" s="18" t="s">
        <v>3211</v>
      </c>
      <c r="P1369" s="18" t="s">
        <v>3212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1196</v>
      </c>
      <c r="K1370" s="18">
        <v>9840398</v>
      </c>
      <c r="L1370" s="18">
        <v>914044</v>
      </c>
      <c r="M1370" s="18" t="s">
        <v>3213</v>
      </c>
      <c r="N1370" s="16" t="s">
        <v>2860</v>
      </c>
      <c r="O1370" s="18" t="s">
        <v>3214</v>
      </c>
      <c r="P1370" s="18" t="s">
        <v>3215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1196</v>
      </c>
      <c r="K1371" s="18">
        <v>9840390</v>
      </c>
      <c r="L1371" s="18">
        <v>914030</v>
      </c>
      <c r="M1371" s="18" t="s">
        <v>3216</v>
      </c>
      <c r="N1371" s="16" t="s">
        <v>2860</v>
      </c>
      <c r="O1371" s="18" t="s">
        <v>3217</v>
      </c>
      <c r="P1371" s="18" t="s">
        <v>3218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1196</v>
      </c>
      <c r="K1372" s="18">
        <v>9840374</v>
      </c>
      <c r="L1372" s="18">
        <v>914063</v>
      </c>
      <c r="M1372" s="18" t="s">
        <v>3219</v>
      </c>
      <c r="N1372" s="16" t="s">
        <v>1523</v>
      </c>
      <c r="O1372" s="18" t="s">
        <v>3220</v>
      </c>
      <c r="P1372" s="18" t="s">
        <v>2988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1262</v>
      </c>
      <c r="K1373" s="18">
        <v>9840318</v>
      </c>
      <c r="L1373" s="18">
        <v>914920</v>
      </c>
      <c r="M1373" s="18" t="s">
        <v>3221</v>
      </c>
      <c r="N1373" s="16" t="s">
        <v>2536</v>
      </c>
      <c r="O1373" s="18" t="s">
        <v>1092</v>
      </c>
      <c r="P1373" s="16" t="s">
        <v>1092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1262</v>
      </c>
      <c r="K1374" s="18">
        <v>9840318</v>
      </c>
      <c r="L1374" s="18">
        <v>914920</v>
      </c>
      <c r="M1374" s="18" t="s">
        <v>3221</v>
      </c>
      <c r="N1374" s="16" t="s">
        <v>2536</v>
      </c>
      <c r="O1374" s="18" t="s">
        <v>1092</v>
      </c>
      <c r="P1374" s="16" t="s">
        <v>1092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1094</v>
      </c>
      <c r="K1375" s="18">
        <v>9844045</v>
      </c>
      <c r="L1375" s="18">
        <v>914963</v>
      </c>
      <c r="M1375" s="18" t="s">
        <v>3222</v>
      </c>
      <c r="N1375" s="16" t="s">
        <v>2575</v>
      </c>
      <c r="O1375" s="18" t="s">
        <v>3223</v>
      </c>
      <c r="P1375" s="18" t="s">
        <v>2538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1120</v>
      </c>
      <c r="K1376" s="18">
        <v>9844044</v>
      </c>
      <c r="L1376" s="18">
        <v>915432</v>
      </c>
      <c r="M1376" s="18" t="s">
        <v>3224</v>
      </c>
      <c r="N1376" s="16" t="s">
        <v>3210</v>
      </c>
      <c r="O1376" s="18" t="s">
        <v>3225</v>
      </c>
      <c r="P1376" s="18" t="s">
        <v>2577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1196</v>
      </c>
      <c r="K1377" s="18">
        <v>9844047</v>
      </c>
      <c r="L1377" s="18">
        <v>915950</v>
      </c>
      <c r="M1377" s="18" t="s">
        <v>3226</v>
      </c>
      <c r="N1377" s="16" t="s">
        <v>2536</v>
      </c>
      <c r="O1377" s="18" t="s">
        <v>3227</v>
      </c>
      <c r="P1377" s="18" t="s">
        <v>2998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1262</v>
      </c>
      <c r="K1378" s="18">
        <v>5020495</v>
      </c>
      <c r="L1378" s="18">
        <v>916179</v>
      </c>
      <c r="M1378" s="18" t="s">
        <v>3228</v>
      </c>
      <c r="N1378" s="16" t="s">
        <v>1092</v>
      </c>
      <c r="O1378" s="18" t="s">
        <v>2412</v>
      </c>
      <c r="P1378" s="18" t="s">
        <v>3039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1262</v>
      </c>
      <c r="K1379" s="18">
        <v>9845195</v>
      </c>
      <c r="L1379" s="18">
        <v>916121</v>
      </c>
      <c r="M1379" s="18" t="s">
        <v>3229</v>
      </c>
      <c r="N1379" s="16" t="s">
        <v>1092</v>
      </c>
      <c r="O1379" s="18" t="s">
        <v>3230</v>
      </c>
      <c r="P1379" s="18" t="s">
        <v>3039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1196</v>
      </c>
      <c r="K1380" s="18">
        <v>9845139</v>
      </c>
      <c r="L1380" s="18">
        <v>915667</v>
      </c>
      <c r="M1380" s="18" t="s">
        <v>3231</v>
      </c>
      <c r="N1380" s="16" t="s">
        <v>2860</v>
      </c>
      <c r="O1380" s="18" t="s">
        <v>2612</v>
      </c>
      <c r="P1380" s="18" t="s">
        <v>2575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1196</v>
      </c>
      <c r="K1381" s="18">
        <v>9845199</v>
      </c>
      <c r="L1381" s="18">
        <v>915631</v>
      </c>
      <c r="M1381" s="18" t="s">
        <v>3232</v>
      </c>
      <c r="N1381" s="16" t="s">
        <v>2575</v>
      </c>
      <c r="O1381" s="18" t="s">
        <v>3233</v>
      </c>
      <c r="P1381" s="18" t="s">
        <v>2995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1082</v>
      </c>
      <c r="K1382" s="18">
        <v>9845190</v>
      </c>
      <c r="L1382" s="18">
        <v>915985</v>
      </c>
      <c r="M1382" s="18" t="s">
        <v>3234</v>
      </c>
      <c r="N1382" s="16" t="s">
        <v>2860</v>
      </c>
      <c r="O1382" s="18" t="s">
        <v>3235</v>
      </c>
      <c r="P1382" s="18" t="s">
        <v>3076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1196</v>
      </c>
      <c r="K1383" s="18">
        <v>9857101</v>
      </c>
      <c r="L1383" s="18">
        <v>919374</v>
      </c>
      <c r="M1383" s="18" t="s">
        <v>3236</v>
      </c>
      <c r="N1383" s="16" t="s">
        <v>2365</v>
      </c>
      <c r="O1383" s="18" t="s">
        <v>2068</v>
      </c>
      <c r="P1383" s="18" t="s">
        <v>3022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1196</v>
      </c>
      <c r="K1384" s="18">
        <v>9845137</v>
      </c>
      <c r="L1384" s="18">
        <v>915960</v>
      </c>
      <c r="M1384" s="18" t="s">
        <v>3237</v>
      </c>
      <c r="N1384" s="16" t="s">
        <v>2860</v>
      </c>
      <c r="O1384" s="18" t="s">
        <v>1657</v>
      </c>
      <c r="P1384" s="18" t="s">
        <v>2671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1262</v>
      </c>
      <c r="K1385" s="18">
        <v>5020496</v>
      </c>
      <c r="L1385" s="18">
        <v>916001</v>
      </c>
      <c r="M1385" s="18" t="s">
        <v>3238</v>
      </c>
      <c r="N1385" s="16" t="s">
        <v>2575</v>
      </c>
      <c r="O1385" s="18" t="s">
        <v>3239</v>
      </c>
      <c r="P1385" s="18" t="s">
        <v>2963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1082</v>
      </c>
      <c r="K1386" s="18">
        <v>9845182</v>
      </c>
      <c r="L1386" s="18" t="s">
        <v>1092</v>
      </c>
      <c r="M1386" s="18" t="s">
        <v>1092</v>
      </c>
      <c r="N1386" s="16" t="s">
        <v>1092</v>
      </c>
      <c r="O1386" s="18" t="s">
        <v>1092</v>
      </c>
      <c r="P1386" s="16" t="s">
        <v>1092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1082</v>
      </c>
      <c r="K1387" s="18">
        <v>9845180</v>
      </c>
      <c r="L1387" s="18" t="s">
        <v>1092</v>
      </c>
      <c r="M1387" s="18" t="s">
        <v>1092</v>
      </c>
      <c r="N1387" s="16" t="s">
        <v>1092</v>
      </c>
      <c r="O1387" s="18" t="s">
        <v>1092</v>
      </c>
      <c r="P1387" s="16" t="s">
        <v>1092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1082</v>
      </c>
      <c r="K1388" s="18">
        <v>9845186</v>
      </c>
      <c r="L1388" s="18" t="s">
        <v>1092</v>
      </c>
      <c r="M1388" s="18" t="s">
        <v>1092</v>
      </c>
      <c r="N1388" s="16" t="s">
        <v>1092</v>
      </c>
      <c r="O1388" s="18" t="s">
        <v>1092</v>
      </c>
      <c r="P1388" s="16" t="s">
        <v>1092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1082</v>
      </c>
      <c r="K1389" s="18">
        <v>9845181</v>
      </c>
      <c r="L1389" s="18" t="s">
        <v>1092</v>
      </c>
      <c r="M1389" s="18" t="s">
        <v>1092</v>
      </c>
      <c r="N1389" s="16" t="s">
        <v>1092</v>
      </c>
      <c r="O1389" s="18" t="s">
        <v>1092</v>
      </c>
      <c r="P1389" s="16" t="s">
        <v>1092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1196</v>
      </c>
      <c r="K1390" s="18">
        <v>9846307</v>
      </c>
      <c r="L1390" s="18">
        <v>917297</v>
      </c>
      <c r="M1390" s="18" t="s">
        <v>3240</v>
      </c>
      <c r="N1390" s="16" t="s">
        <v>2603</v>
      </c>
      <c r="O1390" s="18" t="s">
        <v>1491</v>
      </c>
      <c r="P1390" s="18" t="s">
        <v>2670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1196</v>
      </c>
      <c r="K1391" s="18">
        <v>9846298</v>
      </c>
      <c r="L1391" s="18">
        <v>917252</v>
      </c>
      <c r="M1391" s="18" t="s">
        <v>3241</v>
      </c>
      <c r="N1391" s="16" t="s">
        <v>2603</v>
      </c>
      <c r="O1391" s="18" t="s">
        <v>1598</v>
      </c>
      <c r="P1391" s="18" t="s">
        <v>2670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1196</v>
      </c>
      <c r="K1392" s="18">
        <v>9846301</v>
      </c>
      <c r="L1392" s="18">
        <v>916733</v>
      </c>
      <c r="M1392" s="18" t="s">
        <v>3242</v>
      </c>
      <c r="N1392" s="16" t="s">
        <v>3210</v>
      </c>
      <c r="O1392" s="18" t="s">
        <v>3243</v>
      </c>
      <c r="P1392" s="18" t="s">
        <v>2670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1110</v>
      </c>
      <c r="K1393" s="18">
        <v>9845578</v>
      </c>
      <c r="L1393" s="18">
        <v>922305</v>
      </c>
      <c r="M1393" s="18" t="s">
        <v>3244</v>
      </c>
      <c r="N1393" s="16" t="s">
        <v>2670</v>
      </c>
      <c r="O1393" s="18" t="s">
        <v>2673</v>
      </c>
      <c r="P1393" s="18" t="s">
        <v>2670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1196</v>
      </c>
      <c r="K1394" s="18" t="s">
        <v>3245</v>
      </c>
      <c r="L1394" s="18">
        <v>917146</v>
      </c>
      <c r="M1394" s="18" t="s">
        <v>3246</v>
      </c>
      <c r="N1394" s="16" t="s">
        <v>3210</v>
      </c>
      <c r="O1394" s="18" t="s">
        <v>3247</v>
      </c>
      <c r="P1394" s="18" t="s">
        <v>3248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1110</v>
      </c>
      <c r="K1395" s="18">
        <v>9845557</v>
      </c>
      <c r="L1395" s="18">
        <v>917296</v>
      </c>
      <c r="M1395" s="18" t="s">
        <v>3249</v>
      </c>
      <c r="N1395" s="16" t="s">
        <v>2603</v>
      </c>
      <c r="O1395" s="18" t="s">
        <v>3250</v>
      </c>
      <c r="P1395" s="18" t="s">
        <v>2995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1110</v>
      </c>
      <c r="K1396" s="18">
        <v>9845566</v>
      </c>
      <c r="L1396" s="18">
        <v>916717</v>
      </c>
      <c r="M1396" s="18" t="s">
        <v>3251</v>
      </c>
      <c r="N1396" s="16" t="s">
        <v>2536</v>
      </c>
      <c r="O1396" s="18" t="s">
        <v>3252</v>
      </c>
      <c r="P1396" s="18" t="s">
        <v>2995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1110</v>
      </c>
      <c r="K1397" s="18">
        <v>9845562</v>
      </c>
      <c r="L1397" s="18">
        <v>916682</v>
      </c>
      <c r="M1397" s="18" t="s">
        <v>3253</v>
      </c>
      <c r="N1397" s="16" t="s">
        <v>2575</v>
      </c>
      <c r="O1397" s="18" t="s">
        <v>3254</v>
      </c>
      <c r="P1397" s="18" t="s">
        <v>2995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1110</v>
      </c>
      <c r="K1398" s="18">
        <v>9845573</v>
      </c>
      <c r="L1398" s="18">
        <v>916702</v>
      </c>
      <c r="M1398" s="18" t="s">
        <v>3255</v>
      </c>
      <c r="N1398" s="16" t="s">
        <v>2536</v>
      </c>
      <c r="O1398" s="18" t="s">
        <v>3256</v>
      </c>
      <c r="P1398" s="18" t="s">
        <v>2995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3257</v>
      </c>
      <c r="G1399" s="22">
        <v>630</v>
      </c>
      <c r="H1399" s="22">
        <v>4623</v>
      </c>
      <c r="I1399" s="22">
        <f t="shared" si="22"/>
        <v>5253</v>
      </c>
      <c r="J1399" s="18" t="s">
        <v>1196</v>
      </c>
      <c r="K1399" s="18">
        <v>9846314</v>
      </c>
      <c r="L1399" s="18">
        <v>922684</v>
      </c>
      <c r="M1399" s="18" t="s">
        <v>3258</v>
      </c>
      <c r="N1399" s="16" t="s">
        <v>2671</v>
      </c>
      <c r="O1399" s="18" t="s">
        <v>3259</v>
      </c>
      <c r="P1399" s="18" t="s">
        <v>2937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3260</v>
      </c>
      <c r="G1400" s="22">
        <v>2817</v>
      </c>
      <c r="H1400" s="22">
        <v>1407.59</v>
      </c>
      <c r="I1400" s="22">
        <f t="shared" si="22"/>
        <v>4224.59</v>
      </c>
      <c r="J1400" s="18" t="s">
        <v>1110</v>
      </c>
      <c r="K1400" s="18">
        <v>9845543</v>
      </c>
      <c r="L1400" s="18">
        <v>922163</v>
      </c>
      <c r="M1400" s="18" t="s">
        <v>3261</v>
      </c>
      <c r="N1400" s="16" t="s">
        <v>2670</v>
      </c>
      <c r="O1400" s="18" t="s">
        <v>3262</v>
      </c>
      <c r="P1400" s="18" t="s">
        <v>2937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1110</v>
      </c>
      <c r="K1401" s="18">
        <v>9845524</v>
      </c>
      <c r="L1401" s="18">
        <v>916142</v>
      </c>
      <c r="M1401" s="18" t="s">
        <v>3263</v>
      </c>
      <c r="N1401" s="16" t="s">
        <v>3210</v>
      </c>
      <c r="O1401" s="18" t="s">
        <v>2566</v>
      </c>
      <c r="P1401" s="18" t="s">
        <v>2670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1110</v>
      </c>
      <c r="K1402" s="18">
        <v>9845491</v>
      </c>
      <c r="L1402" s="18">
        <v>916142</v>
      </c>
      <c r="M1402" s="18" t="s">
        <v>3263</v>
      </c>
      <c r="N1402" s="16" t="s">
        <v>3210</v>
      </c>
      <c r="O1402" s="18" t="s">
        <v>2566</v>
      </c>
      <c r="P1402" s="18" t="s">
        <v>2670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1110</v>
      </c>
      <c r="K1403" s="18">
        <v>9845478</v>
      </c>
      <c r="L1403" s="18">
        <v>916142</v>
      </c>
      <c r="M1403" s="18" t="s">
        <v>3263</v>
      </c>
      <c r="N1403" s="16" t="s">
        <v>3210</v>
      </c>
      <c r="O1403" s="18" t="s">
        <v>2566</v>
      </c>
      <c r="P1403" s="18" t="s">
        <v>2670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1196</v>
      </c>
      <c r="K1404" s="18">
        <v>9857016</v>
      </c>
      <c r="L1404" s="18">
        <v>922817</v>
      </c>
      <c r="M1404" s="18" t="s">
        <v>3264</v>
      </c>
      <c r="N1404" s="16" t="s">
        <v>2671</v>
      </c>
      <c r="O1404" s="18" t="s">
        <v>1774</v>
      </c>
      <c r="P1404" s="18" t="s">
        <v>2998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1196</v>
      </c>
      <c r="K1405" s="18">
        <v>9845469</v>
      </c>
      <c r="L1405" s="18">
        <v>916142</v>
      </c>
      <c r="M1405" s="18" t="s">
        <v>3263</v>
      </c>
      <c r="N1405" s="16" t="s">
        <v>3210</v>
      </c>
      <c r="O1405" s="18" t="s">
        <v>2566</v>
      </c>
      <c r="P1405" s="18" t="s">
        <v>2670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1110</v>
      </c>
      <c r="K1406" s="18" t="s">
        <v>3265</v>
      </c>
      <c r="L1406" s="18">
        <v>922817</v>
      </c>
      <c r="M1406" s="18" t="s">
        <v>3264</v>
      </c>
      <c r="N1406" s="16" t="s">
        <v>2671</v>
      </c>
      <c r="O1406" s="18" t="s">
        <v>1774</v>
      </c>
      <c r="P1406" s="18" t="s">
        <v>2998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1196</v>
      </c>
      <c r="K1407" s="18">
        <v>502666</v>
      </c>
      <c r="L1407" s="18">
        <v>922817</v>
      </c>
      <c r="M1407" s="18" t="s">
        <v>3264</v>
      </c>
      <c r="N1407" s="16" t="s">
        <v>2671</v>
      </c>
      <c r="O1407" s="18" t="s">
        <v>1774</v>
      </c>
      <c r="P1407" s="18" t="s">
        <v>2998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1262</v>
      </c>
      <c r="K1408" s="18">
        <v>5020553</v>
      </c>
      <c r="L1408" s="18">
        <v>917299</v>
      </c>
      <c r="M1408" s="18" t="s">
        <v>3266</v>
      </c>
      <c r="N1408" s="16" t="s">
        <v>2603</v>
      </c>
      <c r="O1408" s="18" t="s">
        <v>3267</v>
      </c>
      <c r="P1408" s="18" t="s">
        <v>2670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1110</v>
      </c>
      <c r="K1409" s="18">
        <v>9847251</v>
      </c>
      <c r="L1409" s="18">
        <v>921716</v>
      </c>
      <c r="M1409" s="18" t="s">
        <v>3268</v>
      </c>
      <c r="N1409" s="16" t="s">
        <v>2671</v>
      </c>
      <c r="O1409" s="18" t="s">
        <v>3269</v>
      </c>
      <c r="P1409" s="18" t="s">
        <v>3270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1120</v>
      </c>
      <c r="K1410" s="18">
        <v>9847283</v>
      </c>
      <c r="L1410" s="18">
        <v>921349</v>
      </c>
      <c r="M1410" s="18" t="s">
        <v>3271</v>
      </c>
      <c r="N1410" s="16" t="s">
        <v>2671</v>
      </c>
      <c r="O1410" s="18" t="s">
        <v>3272</v>
      </c>
      <c r="P1410" s="18" t="s">
        <v>3270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1110</v>
      </c>
      <c r="K1411" s="18">
        <v>9847236</v>
      </c>
      <c r="L1411" s="18">
        <v>918365</v>
      </c>
      <c r="M1411" s="18" t="s">
        <v>3273</v>
      </c>
      <c r="N1411" s="16" t="s">
        <v>2993</v>
      </c>
      <c r="O1411" s="18" t="s">
        <v>1092</v>
      </c>
      <c r="P1411" s="16" t="s">
        <v>1092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1110</v>
      </c>
      <c r="K1412" s="18">
        <v>9847241</v>
      </c>
      <c r="L1412" s="18">
        <v>919790</v>
      </c>
      <c r="M1412" s="18" t="s">
        <v>3274</v>
      </c>
      <c r="N1412" s="16" t="s">
        <v>2993</v>
      </c>
      <c r="O1412" s="18" t="s">
        <v>1092</v>
      </c>
      <c r="P1412" s="16" t="s">
        <v>1092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>
      <c r="A1413" s="16">
        <v>46139</v>
      </c>
      <c r="B1413" s="16">
        <v>46139</v>
      </c>
      <c r="C1413" s="21" t="s">
        <v>3275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1120</v>
      </c>
      <c r="K1413" s="18" t="s">
        <v>3276</v>
      </c>
      <c r="L1413" s="18" t="s">
        <v>3277</v>
      </c>
      <c r="M1413" s="18" t="s">
        <v>3278</v>
      </c>
      <c r="N1413" s="16" t="s">
        <v>2993</v>
      </c>
      <c r="O1413" s="18" t="s">
        <v>1092</v>
      </c>
      <c r="P1413" s="16" t="s">
        <v>1092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1110</v>
      </c>
      <c r="K1414" s="18">
        <v>9847246</v>
      </c>
      <c r="L1414" s="18">
        <v>919798</v>
      </c>
      <c r="M1414" s="18" t="s">
        <v>3279</v>
      </c>
      <c r="N1414" s="16" t="s">
        <v>2993</v>
      </c>
      <c r="O1414" s="18" t="s">
        <v>3280</v>
      </c>
      <c r="P1414" s="18" t="s">
        <v>3281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1120</v>
      </c>
      <c r="K1415" s="18">
        <v>9847285</v>
      </c>
      <c r="L1415" s="18">
        <v>919798</v>
      </c>
      <c r="M1415" s="18" t="s">
        <v>3279</v>
      </c>
      <c r="N1415" s="16" t="s">
        <v>2993</v>
      </c>
      <c r="O1415" s="18" t="s">
        <v>3280</v>
      </c>
      <c r="P1415" s="18" t="s">
        <v>3281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1110</v>
      </c>
      <c r="K1416" s="18">
        <v>9847257</v>
      </c>
      <c r="L1416" s="18">
        <v>919825</v>
      </c>
      <c r="M1416" s="18" t="s">
        <v>3282</v>
      </c>
      <c r="N1416" s="16" t="s">
        <v>2993</v>
      </c>
      <c r="O1416" s="18" t="s">
        <v>3283</v>
      </c>
      <c r="P1416" s="18" t="s">
        <v>3284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1082</v>
      </c>
      <c r="K1417" s="18">
        <v>9848864</v>
      </c>
      <c r="L1417" s="18">
        <v>918224</v>
      </c>
      <c r="M1417" s="18" t="s">
        <v>3285</v>
      </c>
      <c r="N1417" s="16" t="s">
        <v>2603</v>
      </c>
      <c r="O1417" s="18" t="s">
        <v>1092</v>
      </c>
      <c r="P1417" s="16" t="s">
        <v>1092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1082</v>
      </c>
      <c r="K1418" s="18">
        <v>9849049</v>
      </c>
      <c r="L1418" s="18">
        <v>918204</v>
      </c>
      <c r="M1418" s="18" t="s">
        <v>3286</v>
      </c>
      <c r="N1418" s="16" t="s">
        <v>2603</v>
      </c>
      <c r="O1418" s="18" t="s">
        <v>1092</v>
      </c>
      <c r="P1418" s="16" t="s">
        <v>1092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1196</v>
      </c>
      <c r="K1419" s="18">
        <v>9848218</v>
      </c>
      <c r="L1419" s="18">
        <v>919787</v>
      </c>
      <c r="M1419" s="18" t="s">
        <v>3287</v>
      </c>
      <c r="N1419" s="16" t="s">
        <v>2993</v>
      </c>
      <c r="O1419" s="18" t="s">
        <v>3288</v>
      </c>
      <c r="P1419" s="18" t="s">
        <v>3289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1082</v>
      </c>
      <c r="K1420" s="18">
        <v>9848898</v>
      </c>
      <c r="L1420" s="18">
        <v>919884</v>
      </c>
      <c r="M1420" s="18" t="s">
        <v>3290</v>
      </c>
      <c r="N1420" s="16" t="s">
        <v>2993</v>
      </c>
      <c r="O1420" s="18" t="s">
        <v>1092</v>
      </c>
      <c r="P1420" s="16" t="s">
        <v>1092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1082</v>
      </c>
      <c r="K1421" s="18">
        <v>9850542</v>
      </c>
      <c r="L1421" s="18">
        <v>920578</v>
      </c>
      <c r="M1421" s="18" t="s">
        <v>3291</v>
      </c>
      <c r="N1421" s="16" t="s">
        <v>3292</v>
      </c>
      <c r="O1421" s="18" t="s">
        <v>3293</v>
      </c>
      <c r="P1421" s="18" t="s">
        <v>3294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1196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3295</v>
      </c>
      <c r="P1422" s="18" t="s">
        <v>3296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3297</v>
      </c>
    </row>
    <row r="1423" spans="1:18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1082</v>
      </c>
      <c r="K1423" s="18">
        <v>9850534</v>
      </c>
      <c r="L1423" s="18">
        <v>920529</v>
      </c>
      <c r="M1423" s="18" t="s">
        <v>3298</v>
      </c>
      <c r="N1423" s="16" t="s">
        <v>2963</v>
      </c>
      <c r="O1423" s="18" t="s">
        <v>3299</v>
      </c>
      <c r="P1423" s="18" t="s">
        <v>3300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1082</v>
      </c>
      <c r="K1424" s="18">
        <v>9850515</v>
      </c>
      <c r="L1424" s="18">
        <v>920529</v>
      </c>
      <c r="M1424" s="18" t="s">
        <v>3298</v>
      </c>
      <c r="N1424" s="16" t="s">
        <v>2963</v>
      </c>
      <c r="O1424" s="18" t="s">
        <v>3299</v>
      </c>
      <c r="P1424" s="18" t="s">
        <v>3300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1196</v>
      </c>
      <c r="K1425" s="18">
        <v>9850543</v>
      </c>
      <c r="L1425" s="18">
        <v>920603</v>
      </c>
      <c r="M1425" s="18" t="s">
        <v>3301</v>
      </c>
      <c r="N1425" s="16" t="s">
        <v>2963</v>
      </c>
      <c r="O1425" s="18" t="s">
        <v>3302</v>
      </c>
      <c r="P1425" s="18" t="s">
        <v>3303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1196</v>
      </c>
      <c r="K1426" s="18">
        <v>9850543</v>
      </c>
      <c r="L1426" s="18">
        <v>920603</v>
      </c>
      <c r="M1426" s="18" t="s">
        <v>3301</v>
      </c>
      <c r="N1426" s="16" t="s">
        <v>2963</v>
      </c>
      <c r="O1426" s="18" t="s">
        <v>3302</v>
      </c>
      <c r="P1426" s="18" t="s">
        <v>3303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1196</v>
      </c>
      <c r="K1427" s="18">
        <v>9852405</v>
      </c>
      <c r="L1427" s="18">
        <v>921167</v>
      </c>
      <c r="M1427" s="18" t="s">
        <v>3304</v>
      </c>
      <c r="N1427" s="16" t="s">
        <v>2963</v>
      </c>
      <c r="O1427" s="18" t="s">
        <v>3305</v>
      </c>
      <c r="P1427" s="18" t="s">
        <v>2995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1196</v>
      </c>
      <c r="K1428" s="18">
        <v>9852099</v>
      </c>
      <c r="L1428" s="18">
        <v>921167</v>
      </c>
      <c r="M1428" s="18" t="s">
        <v>3304</v>
      </c>
      <c r="N1428" s="16" t="s">
        <v>2963</v>
      </c>
      <c r="O1428" s="18" t="s">
        <v>3305</v>
      </c>
      <c r="P1428" s="18" t="s">
        <v>2995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1196</v>
      </c>
      <c r="K1429" s="18">
        <v>9852386</v>
      </c>
      <c r="L1429" s="18">
        <v>921167</v>
      </c>
      <c r="M1429" s="18" t="s">
        <v>3304</v>
      </c>
      <c r="N1429" s="16" t="s">
        <v>2963</v>
      </c>
      <c r="O1429" s="18" t="s">
        <v>3305</v>
      </c>
      <c r="P1429" s="18" t="s">
        <v>2995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3306</v>
      </c>
      <c r="G1430" s="22">
        <v>1760.83</v>
      </c>
      <c r="H1430" s="22">
        <v>1004.35</v>
      </c>
      <c r="I1430" s="22">
        <f t="shared" si="23"/>
        <v>2765.18</v>
      </c>
      <c r="J1430" s="18" t="s">
        <v>1110</v>
      </c>
      <c r="K1430" s="18">
        <v>9838894</v>
      </c>
      <c r="L1430" s="18">
        <v>920646</v>
      </c>
      <c r="M1430" s="18" t="s">
        <v>3307</v>
      </c>
      <c r="N1430" s="16" t="s">
        <v>2963</v>
      </c>
      <c r="O1430" s="18" t="s">
        <v>3308</v>
      </c>
      <c r="P1430" s="18" t="s">
        <v>2937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3309</v>
      </c>
      <c r="G1431" s="22">
        <v>450</v>
      </c>
      <c r="H1431" s="22">
        <v>1370.69</v>
      </c>
      <c r="I1431" s="22">
        <f t="shared" si="23"/>
        <v>1820.69</v>
      </c>
      <c r="J1431" s="18" t="s">
        <v>1082</v>
      </c>
      <c r="K1431" s="18">
        <v>9839108</v>
      </c>
      <c r="L1431" s="18">
        <v>920645</v>
      </c>
      <c r="M1431" s="18" t="s">
        <v>3310</v>
      </c>
      <c r="N1431" s="16" t="s">
        <v>3027</v>
      </c>
      <c r="O1431" s="18" t="s">
        <v>3311</v>
      </c>
      <c r="P1431" s="18" t="s">
        <v>2937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3312</v>
      </c>
      <c r="G1432" s="22">
        <v>200</v>
      </c>
      <c r="H1432" s="22">
        <v>1381.32</v>
      </c>
      <c r="I1432" s="22">
        <f t="shared" si="23"/>
        <v>1581.32</v>
      </c>
      <c r="J1432" s="18" t="s">
        <v>1262</v>
      </c>
      <c r="K1432" s="18">
        <v>9839103</v>
      </c>
      <c r="L1432" s="18">
        <v>920732</v>
      </c>
      <c r="M1432" s="18" t="s">
        <v>3313</v>
      </c>
      <c r="N1432" s="16" t="s">
        <v>3027</v>
      </c>
      <c r="O1432" s="18" t="s">
        <v>3314</v>
      </c>
      <c r="P1432" s="18" t="s">
        <v>2937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3315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1196</v>
      </c>
      <c r="K1433" s="18">
        <v>9839106</v>
      </c>
      <c r="L1433" s="18">
        <v>920709</v>
      </c>
      <c r="M1433" s="18" t="s">
        <v>3316</v>
      </c>
      <c r="N1433" s="16" t="s">
        <v>3027</v>
      </c>
      <c r="O1433" s="18" t="s">
        <v>1092</v>
      </c>
      <c r="P1433" s="16" t="s">
        <v>1092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3317</v>
      </c>
      <c r="G1434" s="22">
        <v>10000</v>
      </c>
      <c r="H1434" s="22"/>
      <c r="I1434" s="22">
        <f t="shared" si="23"/>
        <v>10000</v>
      </c>
      <c r="J1434" s="18" t="s">
        <v>1196</v>
      </c>
      <c r="K1434" s="18">
        <v>9852413</v>
      </c>
      <c r="L1434" s="18">
        <v>921061</v>
      </c>
      <c r="M1434" s="18" t="s">
        <v>3318</v>
      </c>
      <c r="N1434" s="16" t="s">
        <v>2963</v>
      </c>
      <c r="O1434" s="18" t="s">
        <v>1858</v>
      </c>
      <c r="P1434" s="18" t="s">
        <v>2670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3319</v>
      </c>
      <c r="G1435" s="22">
        <v>10000</v>
      </c>
      <c r="H1435" s="22"/>
      <c r="I1435" s="22">
        <f t="shared" si="23"/>
        <v>10000</v>
      </c>
      <c r="J1435" s="18" t="s">
        <v>1196</v>
      </c>
      <c r="K1435" s="18">
        <v>9852418</v>
      </c>
      <c r="L1435" s="18">
        <v>921044</v>
      </c>
      <c r="M1435" s="18" t="s">
        <v>3320</v>
      </c>
      <c r="N1435" s="16" t="s">
        <v>2963</v>
      </c>
      <c r="O1435" s="18" t="s">
        <v>1856</v>
      </c>
      <c r="P1435" s="18" t="s">
        <v>2670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3321</v>
      </c>
      <c r="G1436" s="22">
        <v>10000</v>
      </c>
      <c r="H1436" s="22"/>
      <c r="I1436" s="22">
        <f t="shared" si="23"/>
        <v>10000</v>
      </c>
      <c r="J1436" s="18" t="s">
        <v>1196</v>
      </c>
      <c r="K1436" s="18">
        <v>9852462</v>
      </c>
      <c r="L1436" s="18">
        <v>920750</v>
      </c>
      <c r="M1436" s="18" t="s">
        <v>3322</v>
      </c>
      <c r="N1436" s="16" t="s">
        <v>2963</v>
      </c>
      <c r="O1436" s="18" t="s">
        <v>3323</v>
      </c>
      <c r="P1436" s="18" t="s">
        <v>2670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3324</v>
      </c>
      <c r="G1437" s="22">
        <v>10000</v>
      </c>
      <c r="H1437" s="22"/>
      <c r="I1437" s="22">
        <f t="shared" si="23"/>
        <v>10000</v>
      </c>
      <c r="J1437" s="18" t="s">
        <v>1196</v>
      </c>
      <c r="K1437" s="18">
        <v>9852419</v>
      </c>
      <c r="L1437" s="18">
        <v>921031</v>
      </c>
      <c r="M1437" s="18" t="s">
        <v>3325</v>
      </c>
      <c r="N1437" s="16" t="s">
        <v>2963</v>
      </c>
      <c r="O1437" s="18" t="s">
        <v>3326</v>
      </c>
      <c r="P1437" s="18" t="s">
        <v>2670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3327</v>
      </c>
      <c r="G1438" s="22">
        <v>10000</v>
      </c>
      <c r="H1438" s="22"/>
      <c r="I1438" s="22">
        <f t="shared" si="23"/>
        <v>10000</v>
      </c>
      <c r="J1438" s="18" t="s">
        <v>1196</v>
      </c>
      <c r="K1438" s="18">
        <v>9852414</v>
      </c>
      <c r="L1438" s="18">
        <v>921048</v>
      </c>
      <c r="M1438" s="18" t="s">
        <v>3328</v>
      </c>
      <c r="N1438" s="16" t="s">
        <v>2963</v>
      </c>
      <c r="O1438" s="18" t="s">
        <v>2293</v>
      </c>
      <c r="P1438" s="18" t="s">
        <v>2670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3329</v>
      </c>
      <c r="G1439" s="22">
        <v>10000</v>
      </c>
      <c r="H1439" s="22"/>
      <c r="I1439" s="22">
        <f t="shared" si="23"/>
        <v>10000</v>
      </c>
      <c r="J1439" s="18" t="s">
        <v>1196</v>
      </c>
      <c r="K1439" s="18">
        <v>9852412</v>
      </c>
      <c r="L1439" s="18">
        <v>921076</v>
      </c>
      <c r="M1439" s="18" t="s">
        <v>3330</v>
      </c>
      <c r="N1439" s="16" t="s">
        <v>2963</v>
      </c>
      <c r="O1439" s="18" t="s">
        <v>2283</v>
      </c>
      <c r="P1439" s="18" t="s">
        <v>2670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3331</v>
      </c>
      <c r="G1440" s="22">
        <v>2406</v>
      </c>
      <c r="H1440" s="22"/>
      <c r="I1440" s="22">
        <f t="shared" si="23"/>
        <v>2406</v>
      </c>
      <c r="J1440" s="18" t="s">
        <v>1196</v>
      </c>
      <c r="K1440" s="18">
        <v>9852469</v>
      </c>
      <c r="L1440" s="18">
        <v>921081</v>
      </c>
      <c r="M1440" s="18" t="s">
        <v>3332</v>
      </c>
      <c r="N1440" s="16" t="s">
        <v>2963</v>
      </c>
      <c r="O1440" s="18" t="s">
        <v>1854</v>
      </c>
      <c r="P1440" s="18" t="s">
        <v>2670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>
      <c r="A1441" s="16">
        <v>46142</v>
      </c>
      <c r="B1441" s="16">
        <v>46142</v>
      </c>
      <c r="C1441" s="21" t="s">
        <v>3333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3334</v>
      </c>
      <c r="G1441" s="22">
        <v>19820.400000000001</v>
      </c>
      <c r="H1441" s="22"/>
      <c r="I1441" s="22">
        <f t="shared" si="23"/>
        <v>19820.400000000001</v>
      </c>
      <c r="J1441" s="18" t="s">
        <v>1196</v>
      </c>
      <c r="K1441" s="18" t="s">
        <v>3335</v>
      </c>
      <c r="L1441" s="18">
        <v>921149</v>
      </c>
      <c r="M1441" s="18" t="s">
        <v>3336</v>
      </c>
      <c r="N1441" s="16" t="s">
        <v>2963</v>
      </c>
      <c r="O1441" s="18" t="s">
        <v>1848</v>
      </c>
      <c r="P1441" s="18" t="s">
        <v>2670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3337</v>
      </c>
      <c r="G1442" s="22">
        <v>11960</v>
      </c>
      <c r="H1442" s="22"/>
      <c r="I1442" s="22">
        <f t="shared" si="23"/>
        <v>11960</v>
      </c>
      <c r="J1442" s="18" t="s">
        <v>1196</v>
      </c>
      <c r="K1442" s="18">
        <v>9852408</v>
      </c>
      <c r="L1442" s="18">
        <v>921143</v>
      </c>
      <c r="M1442" s="18" t="s">
        <v>3338</v>
      </c>
      <c r="N1442" s="16" t="s">
        <v>2963</v>
      </c>
      <c r="O1442" s="18" t="s">
        <v>1854</v>
      </c>
      <c r="P1442" s="18" t="s">
        <v>2670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3339</v>
      </c>
      <c r="G1443" s="22">
        <v>11960</v>
      </c>
      <c r="H1443" s="22"/>
      <c r="I1443" s="22">
        <f t="shared" si="23"/>
        <v>11960</v>
      </c>
      <c r="J1443" s="18" t="s">
        <v>1196</v>
      </c>
      <c r="K1443" s="18">
        <v>9852409</v>
      </c>
      <c r="L1443" s="18">
        <v>921135</v>
      </c>
      <c r="M1443" s="18" t="s">
        <v>3340</v>
      </c>
      <c r="N1443" s="16" t="s">
        <v>2963</v>
      </c>
      <c r="O1443" s="18" t="s">
        <v>1856</v>
      </c>
      <c r="P1443" s="18" t="s">
        <v>2670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3341</v>
      </c>
      <c r="G1444" s="22">
        <v>2131</v>
      </c>
      <c r="H1444" s="22"/>
      <c r="I1444" s="22">
        <f t="shared" si="23"/>
        <v>2131</v>
      </c>
      <c r="J1444" s="18" t="s">
        <v>1196</v>
      </c>
      <c r="K1444" s="18">
        <v>9852468</v>
      </c>
      <c r="L1444" s="18">
        <v>921117</v>
      </c>
      <c r="M1444" s="18" t="s">
        <v>3342</v>
      </c>
      <c r="N1444" s="16" t="s">
        <v>2963</v>
      </c>
      <c r="O1444" s="18" t="s">
        <v>3323</v>
      </c>
      <c r="P1444" s="18" t="s">
        <v>2670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3343</v>
      </c>
      <c r="G1445" s="22">
        <v>1938.6</v>
      </c>
      <c r="H1445" s="22"/>
      <c r="I1445" s="22">
        <f t="shared" si="23"/>
        <v>1938.6</v>
      </c>
      <c r="J1445" s="18" t="s">
        <v>1196</v>
      </c>
      <c r="K1445" s="18">
        <v>9853297</v>
      </c>
      <c r="L1445" s="18" t="s">
        <v>3344</v>
      </c>
      <c r="M1445" s="18" t="s">
        <v>3345</v>
      </c>
      <c r="N1445" s="16" t="s">
        <v>3346</v>
      </c>
      <c r="O1445" s="18" t="s">
        <v>1860</v>
      </c>
      <c r="P1445" s="18" t="s">
        <v>2670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3347</v>
      </c>
      <c r="G1446" s="22">
        <v>1159</v>
      </c>
      <c r="H1446" s="22"/>
      <c r="I1446" s="22">
        <f t="shared" si="23"/>
        <v>1159</v>
      </c>
      <c r="J1446" s="18" t="s">
        <v>1196</v>
      </c>
      <c r="K1446" s="18">
        <v>9852631</v>
      </c>
      <c r="L1446" s="18">
        <v>921086</v>
      </c>
      <c r="M1446" s="18" t="s">
        <v>3348</v>
      </c>
      <c r="N1446" s="16" t="s">
        <v>2963</v>
      </c>
      <c r="O1446" s="18" t="s">
        <v>1860</v>
      </c>
      <c r="P1446" s="18" t="s">
        <v>2671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1082</v>
      </c>
      <c r="K1447" s="18">
        <v>9852702</v>
      </c>
      <c r="L1447" s="18">
        <v>921747</v>
      </c>
      <c r="M1447" s="18" t="s">
        <v>3349</v>
      </c>
      <c r="N1447" s="16" t="s">
        <v>2671</v>
      </c>
      <c r="O1447" s="18" t="s">
        <v>3350</v>
      </c>
      <c r="P1447" s="18" t="s">
        <v>3351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1082</v>
      </c>
      <c r="K1448" s="18">
        <v>9852685</v>
      </c>
      <c r="L1448" s="18">
        <v>921911</v>
      </c>
      <c r="M1448" s="18" t="s">
        <v>3352</v>
      </c>
      <c r="N1448" s="16" t="s">
        <v>2671</v>
      </c>
      <c r="O1448" s="18" t="s">
        <v>3353</v>
      </c>
      <c r="P1448" s="18" t="s">
        <v>3351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1082</v>
      </c>
      <c r="K1449" s="18">
        <v>9852636</v>
      </c>
      <c r="L1449" s="18">
        <v>921329</v>
      </c>
      <c r="M1449" s="18" t="s">
        <v>3354</v>
      </c>
      <c r="N1449" s="16" t="s">
        <v>2670</v>
      </c>
      <c r="O1449" s="18" t="s">
        <v>3355</v>
      </c>
      <c r="P1449" s="18" t="s">
        <v>3356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1082</v>
      </c>
      <c r="K1450" s="18">
        <v>9852634</v>
      </c>
      <c r="L1450" s="18">
        <v>921327</v>
      </c>
      <c r="M1450" s="18" t="s">
        <v>3357</v>
      </c>
      <c r="N1450" s="16" t="s">
        <v>3346</v>
      </c>
      <c r="O1450" s="18" t="s">
        <v>3358</v>
      </c>
      <c r="P1450" s="18" t="s">
        <v>3359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1082</v>
      </c>
      <c r="K1451" s="18">
        <v>9852703</v>
      </c>
      <c r="L1451" s="18">
        <v>921324</v>
      </c>
      <c r="M1451" s="18" t="s">
        <v>3360</v>
      </c>
      <c r="N1451" s="16" t="s">
        <v>3346</v>
      </c>
      <c r="O1451" s="18" t="s">
        <v>3361</v>
      </c>
      <c r="P1451" s="18" t="s">
        <v>3362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1196</v>
      </c>
      <c r="K1452" s="18">
        <v>9853299</v>
      </c>
      <c r="L1452" s="18">
        <v>921167</v>
      </c>
      <c r="M1452" s="18" t="s">
        <v>3304</v>
      </c>
      <c r="N1452" s="16" t="s">
        <v>2963</v>
      </c>
      <c r="O1452" s="18" t="s">
        <v>3305</v>
      </c>
      <c r="P1452" s="18" t="s">
        <v>2995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1082</v>
      </c>
      <c r="K1453" s="18">
        <v>5020623</v>
      </c>
      <c r="L1453" s="18">
        <v>922775</v>
      </c>
      <c r="M1453" s="18" t="s">
        <v>3363</v>
      </c>
      <c r="N1453" s="16" t="s">
        <v>2670</v>
      </c>
      <c r="O1453" s="18" t="s">
        <v>3364</v>
      </c>
      <c r="P1453" s="18" t="s">
        <v>3365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3366</v>
      </c>
      <c r="G1454" s="22">
        <v>231.97</v>
      </c>
      <c r="H1454" s="22">
        <v>6249.71</v>
      </c>
      <c r="I1454" s="22">
        <f t="shared" si="23"/>
        <v>6481.68</v>
      </c>
      <c r="J1454" s="18" t="s">
        <v>1196</v>
      </c>
      <c r="K1454" s="18">
        <v>9852407</v>
      </c>
      <c r="L1454" s="18">
        <v>921267</v>
      </c>
      <c r="M1454" s="18" t="s">
        <v>3367</v>
      </c>
      <c r="N1454" s="16" t="s">
        <v>2963</v>
      </c>
      <c r="O1454" s="18" t="s">
        <v>3368</v>
      </c>
      <c r="P1454" s="18" t="s">
        <v>3369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1196</v>
      </c>
      <c r="K1455" s="18" t="s">
        <v>3370</v>
      </c>
      <c r="L1455" s="18" t="s">
        <v>3371</v>
      </c>
      <c r="M1455" s="18" t="s">
        <v>3372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1082</v>
      </c>
      <c r="K1456" s="18">
        <v>9851789</v>
      </c>
      <c r="L1456" s="18">
        <v>922787</v>
      </c>
      <c r="M1456" s="18" t="s">
        <v>3373</v>
      </c>
      <c r="N1456" s="16" t="s">
        <v>2670</v>
      </c>
      <c r="O1456" s="18" t="s">
        <v>3374</v>
      </c>
      <c r="P1456" s="18" t="s">
        <v>2365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>
      <c r="A1457" s="16">
        <v>46148</v>
      </c>
      <c r="B1457" s="16">
        <v>46149</v>
      </c>
      <c r="C1457" s="21">
        <v>11040015</v>
      </c>
      <c r="D1457" s="16" t="str">
        <f>IFERROR(VLOOKUP(Tabela5[[#This Row],[PREFIXO ]],Tabela4[#All],2,0),"CENTRO DE CUSTO")</f>
        <v>CAV MEC EXT PES SCANIA R500</v>
      </c>
      <c r="E1457" s="18" t="s">
        <v>24</v>
      </c>
      <c r="F1457" s="21" t="s">
        <v>3375</v>
      </c>
      <c r="G1457" s="22">
        <v>643.5</v>
      </c>
      <c r="H1457" s="22">
        <v>12158.55</v>
      </c>
      <c r="I1457" s="22">
        <f t="shared" si="23"/>
        <v>12802.05</v>
      </c>
      <c r="J1457" s="18" t="s">
        <v>1082</v>
      </c>
      <c r="K1457" s="18">
        <v>9855939</v>
      </c>
      <c r="L1457" s="18">
        <v>924362</v>
      </c>
      <c r="M1457" s="18" t="s">
        <v>3376</v>
      </c>
      <c r="N1457" s="16" t="s">
        <v>3377</v>
      </c>
      <c r="O1457" s="18" t="s">
        <v>3378</v>
      </c>
      <c r="P1457" s="18" t="s">
        <v>3379</v>
      </c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CONCLUÍDO</v>
      </c>
      <c r="R1457" s="36"/>
    </row>
    <row r="1458" spans="1:18">
      <c r="A1458" s="16">
        <v>46148</v>
      </c>
      <c r="B1458" s="16">
        <v>46149</v>
      </c>
      <c r="C1458" s="21">
        <v>15110008</v>
      </c>
      <c r="D1458" s="16" t="str">
        <f>IFERROR(VLOOKUP(Tabela5[[#This Row],[PREFIXO ]],Tabela4[#All],2,0),"CENTRO DE CUSTO")</f>
        <v>DISTRIB CORRET STARA BRUTTUS 25000</v>
      </c>
      <c r="E1458" s="18" t="s">
        <v>48</v>
      </c>
      <c r="F1458" s="21">
        <v>20796</v>
      </c>
      <c r="G1458" s="22">
        <v>100</v>
      </c>
      <c r="H1458" s="22">
        <v>7650.45</v>
      </c>
      <c r="I1458" s="22">
        <f t="shared" si="23"/>
        <v>7750.45</v>
      </c>
      <c r="J1458" s="18" t="s">
        <v>1262</v>
      </c>
      <c r="K1458" s="18">
        <v>9855775</v>
      </c>
      <c r="L1458" s="18">
        <v>924352</v>
      </c>
      <c r="M1458" s="18" t="s">
        <v>3380</v>
      </c>
      <c r="N1458" s="16" t="s">
        <v>2671</v>
      </c>
      <c r="O1458" s="18" t="s">
        <v>3381</v>
      </c>
      <c r="P1458" s="18" t="s">
        <v>3351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>
      <c r="A1459" s="16">
        <v>46148</v>
      </c>
      <c r="B1459" s="16">
        <v>46149</v>
      </c>
      <c r="C1459" s="21">
        <v>61521052</v>
      </c>
      <c r="D1459" s="16" t="str">
        <f>IFERROR(VLOOKUP(Tabela5[[#This Row],[PREFIXO ]],Tabela4[#All],2,0),"CENTRO DE CUSTO")</f>
        <v>CAM CARGA SECA MERC BENZ ATEGO 1719</v>
      </c>
      <c r="E1459" s="18" t="s">
        <v>131</v>
      </c>
      <c r="F1459" s="21">
        <v>224</v>
      </c>
      <c r="G1459" s="22">
        <v>860</v>
      </c>
      <c r="H1459" s="22"/>
      <c r="I1459" s="22">
        <f t="shared" si="23"/>
        <v>860</v>
      </c>
      <c r="J1459" s="18" t="s">
        <v>1196</v>
      </c>
      <c r="K1459" s="18">
        <v>9855632</v>
      </c>
      <c r="L1459" s="18">
        <v>924256</v>
      </c>
      <c r="M1459" s="18" t="s">
        <v>3382</v>
      </c>
      <c r="N1459" s="16" t="s">
        <v>2671</v>
      </c>
      <c r="O1459" s="18" t="s">
        <v>3383</v>
      </c>
      <c r="P1459" s="18" t="s">
        <v>3022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>
      <c r="A1460" s="16">
        <v>46148</v>
      </c>
      <c r="B1460" s="16">
        <v>46149</v>
      </c>
      <c r="C1460" s="21">
        <v>51519061</v>
      </c>
      <c r="D1460" s="16" t="str">
        <f>IFERROR(VLOOKUP(Tabela5[[#This Row],[PREFIXO ]],Tabela4[#All],2,0),"CENTRO DE CUSTO")</f>
        <v>CENTRO DE CUSTO</v>
      </c>
      <c r="E1460" s="18" t="s">
        <v>67</v>
      </c>
      <c r="F1460" s="21">
        <v>161</v>
      </c>
      <c r="G1460" s="22">
        <v>1150</v>
      </c>
      <c r="H1460" s="22">
        <v>3840</v>
      </c>
      <c r="I1460" s="22">
        <f t="shared" si="23"/>
        <v>4990</v>
      </c>
      <c r="J1460" s="18" t="s">
        <v>1120</v>
      </c>
      <c r="K1460" s="18">
        <v>9856939</v>
      </c>
      <c r="L1460" s="18">
        <v>925408</v>
      </c>
      <c r="M1460" s="18" t="s">
        <v>3384</v>
      </c>
      <c r="N1460" s="16" t="s">
        <v>2365</v>
      </c>
      <c r="O1460" s="18" t="s">
        <v>3385</v>
      </c>
      <c r="P1460" s="18" t="s">
        <v>3386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>
      <c r="A1461" s="16">
        <v>46148</v>
      </c>
      <c r="B1461" s="16">
        <v>46149</v>
      </c>
      <c r="C1461" s="21">
        <v>5173120</v>
      </c>
      <c r="D1461" s="16" t="str">
        <f>IFERROR(VLOOKUP(Tabela5[[#This Row],[PREFIXO ]],Tabela4[#All],2,0),"CENTRO DE CUSTO")</f>
        <v>COLHED ALGODÃO JOHN DEERE 7760</v>
      </c>
      <c r="E1461" s="18" t="s">
        <v>67</v>
      </c>
      <c r="F1461" s="21">
        <v>160</v>
      </c>
      <c r="G1461" s="22">
        <v>1150</v>
      </c>
      <c r="H1461" s="22">
        <v>3545.5</v>
      </c>
      <c r="I1461" s="22">
        <f t="shared" si="23"/>
        <v>4695.5</v>
      </c>
      <c r="J1461" s="18" t="s">
        <v>1120</v>
      </c>
      <c r="K1461" s="18">
        <v>9856964</v>
      </c>
      <c r="L1461" s="18">
        <v>925003</v>
      </c>
      <c r="M1461" s="18" t="s">
        <v>3387</v>
      </c>
      <c r="N1461" s="16" t="s">
        <v>2365</v>
      </c>
      <c r="O1461" s="18" t="s">
        <v>3388</v>
      </c>
      <c r="P1461" s="18" t="s">
        <v>3389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>
      <c r="A1462" s="16">
        <v>46148</v>
      </c>
      <c r="B1462" s="16">
        <v>46149</v>
      </c>
      <c r="C1462" s="21">
        <v>13150003</v>
      </c>
      <c r="D1462" s="16" t="str">
        <f>IFERROR(VLOOKUP(Tabela5[[#This Row],[PREFIXO ]],Tabela4[#All],2,0),"CENTRO DE CUSTO")</f>
        <v>CENTRO DE CUSTO</v>
      </c>
      <c r="E1462" s="18" t="s">
        <v>67</v>
      </c>
      <c r="F1462" s="21">
        <v>157</v>
      </c>
      <c r="G1462" s="22">
        <v>4500</v>
      </c>
      <c r="H1462" s="22"/>
      <c r="I1462" s="22">
        <f t="shared" si="23"/>
        <v>4500</v>
      </c>
      <c r="J1462" s="18" t="s">
        <v>1262</v>
      </c>
      <c r="K1462" s="18">
        <v>9855476</v>
      </c>
      <c r="L1462" s="18">
        <v>924149</v>
      </c>
      <c r="M1462" s="18" t="s">
        <v>3390</v>
      </c>
      <c r="N1462" s="16" t="s">
        <v>2671</v>
      </c>
      <c r="O1462" s="18" t="s">
        <v>2968</v>
      </c>
      <c r="P1462" s="18" t="s">
        <v>2998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>
      <c r="A1463" s="16">
        <v>46148</v>
      </c>
      <c r="B1463" s="16">
        <v>46149</v>
      </c>
      <c r="C1463" s="21">
        <v>51521051</v>
      </c>
      <c r="D1463" s="16" t="str">
        <f>IFERROR(VLOOKUP(Tabela5[[#This Row],[PREFIXO ]],Tabela4[#All],2,0),"CENTRO DE CUSTO")</f>
        <v>COLHED ALGODÃO JOHN DEERE CP 690</v>
      </c>
      <c r="E1463" s="18" t="s">
        <v>67</v>
      </c>
      <c r="F1463" s="21">
        <v>154</v>
      </c>
      <c r="G1463" s="22">
        <v>1380</v>
      </c>
      <c r="H1463" s="22">
        <v>1380</v>
      </c>
      <c r="I1463" s="22">
        <f t="shared" si="23"/>
        <v>2760</v>
      </c>
      <c r="J1463" s="18" t="s">
        <v>1120</v>
      </c>
      <c r="K1463" s="18">
        <v>9856929</v>
      </c>
      <c r="L1463" s="18">
        <v>925003</v>
      </c>
      <c r="M1463" s="18" t="s">
        <v>3387</v>
      </c>
      <c r="N1463" s="16" t="s">
        <v>2365</v>
      </c>
      <c r="O1463" s="18" t="s">
        <v>3388</v>
      </c>
      <c r="P1463" s="18" t="s">
        <v>3389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>
      <c r="A1464" s="16">
        <v>46148</v>
      </c>
      <c r="B1464" s="16">
        <v>46149</v>
      </c>
      <c r="C1464" s="21">
        <v>51519062</v>
      </c>
      <c r="D1464" s="16" t="str">
        <f>IFERROR(VLOOKUP(Tabela5[[#This Row],[PREFIXO ]],Tabela4[#All],2,0),"CENTRO DE CUSTO")</f>
        <v>CENTRO DE CUSTO</v>
      </c>
      <c r="E1464" s="18" t="s">
        <v>67</v>
      </c>
      <c r="F1464" s="21">
        <v>149</v>
      </c>
      <c r="G1464" s="22">
        <v>2250</v>
      </c>
      <c r="H1464" s="22">
        <v>489.8</v>
      </c>
      <c r="I1464" s="22">
        <f t="shared" si="23"/>
        <v>2739.8</v>
      </c>
      <c r="J1464" s="18" t="s">
        <v>1120</v>
      </c>
      <c r="K1464" s="18">
        <v>9856908</v>
      </c>
      <c r="L1464" s="18">
        <v>925408</v>
      </c>
      <c r="M1464" s="18" t="s">
        <v>3384</v>
      </c>
      <c r="N1464" s="16" t="s">
        <v>2365</v>
      </c>
      <c r="O1464" s="18" t="s">
        <v>3385</v>
      </c>
      <c r="P1464" s="18" t="s">
        <v>3386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>
      <c r="A1465" s="16">
        <v>46148</v>
      </c>
      <c r="B1465" s="16">
        <v>46149</v>
      </c>
      <c r="C1465" s="21">
        <v>51521063</v>
      </c>
      <c r="D1465" s="16" t="str">
        <f>IFERROR(VLOOKUP(Tabela5[[#This Row],[PREFIXO ]],Tabela4[#All],2,0),"CENTRO DE CUSTO")</f>
        <v>COLHED ALGODÃO JOHN DEERE CP 690</v>
      </c>
      <c r="E1465" s="18" t="s">
        <v>67</v>
      </c>
      <c r="F1465" s="21">
        <v>148</v>
      </c>
      <c r="G1465" s="22">
        <v>1380</v>
      </c>
      <c r="H1465" s="22"/>
      <c r="I1465" s="22">
        <f t="shared" si="23"/>
        <v>1380</v>
      </c>
      <c r="J1465" s="18" t="s">
        <v>1120</v>
      </c>
      <c r="K1465" s="18">
        <v>9856879</v>
      </c>
      <c r="L1465" s="18">
        <v>925408</v>
      </c>
      <c r="M1465" s="18" t="s">
        <v>3384</v>
      </c>
      <c r="N1465" s="16" t="s">
        <v>2365</v>
      </c>
      <c r="O1465" s="18" t="s">
        <v>3385</v>
      </c>
      <c r="P1465" s="18" t="s">
        <v>3386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>
      <c r="A1466" s="16">
        <v>46148</v>
      </c>
      <c r="B1466" s="16">
        <v>46149</v>
      </c>
      <c r="C1466" s="21">
        <v>13130044</v>
      </c>
      <c r="D1466" s="16" t="str">
        <f>IFERROR(VLOOKUP(Tabela5[[#This Row],[PREFIXO ]],Tabela4[#All],2,0),"CENTRO DE CUSTO")</f>
        <v>PULV AUTOPROP JOHN DEERE M4030</v>
      </c>
      <c r="E1466" s="18" t="s">
        <v>67</v>
      </c>
      <c r="F1466" s="21">
        <v>152</v>
      </c>
      <c r="G1466" s="22">
        <v>1192.32</v>
      </c>
      <c r="H1466" s="22"/>
      <c r="I1466" s="22">
        <f t="shared" si="23"/>
        <v>1192.32</v>
      </c>
      <c r="J1466" s="18" t="s">
        <v>1262</v>
      </c>
      <c r="K1466" s="18">
        <v>9855534</v>
      </c>
      <c r="L1466" s="18">
        <v>924105</v>
      </c>
      <c r="M1466" s="18" t="s">
        <v>3391</v>
      </c>
      <c r="N1466" s="16" t="s">
        <v>2671</v>
      </c>
      <c r="O1466" s="18" t="s">
        <v>3392</v>
      </c>
      <c r="P1466" s="18" t="s">
        <v>2998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>
      <c r="A1467" s="16">
        <v>46148</v>
      </c>
      <c r="B1467" s="16">
        <v>46149</v>
      </c>
      <c r="C1467" s="21">
        <v>51521065</v>
      </c>
      <c r="D1467" s="16" t="str">
        <f>IFERROR(VLOOKUP(Tabela5[[#This Row],[PREFIXO ]],Tabela4[#All],2,0),"CENTRO DE CUSTO")</f>
        <v>COLHED ALGODÃO JOHN DEERE CP 690</v>
      </c>
      <c r="E1467" s="18" t="s">
        <v>67</v>
      </c>
      <c r="F1467" s="21">
        <v>155</v>
      </c>
      <c r="G1467" s="22">
        <v>1150</v>
      </c>
      <c r="H1467" s="22"/>
      <c r="I1467" s="22">
        <f t="shared" si="23"/>
        <v>1150</v>
      </c>
      <c r="J1467" s="18" t="s">
        <v>1120</v>
      </c>
      <c r="K1467" s="18">
        <v>9856972</v>
      </c>
      <c r="L1467" s="18">
        <v>925003</v>
      </c>
      <c r="M1467" s="18" t="s">
        <v>3387</v>
      </c>
      <c r="N1467" s="16" t="s">
        <v>2365</v>
      </c>
      <c r="O1467" s="18" t="s">
        <v>3388</v>
      </c>
      <c r="P1467" s="18" t="s">
        <v>3389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>
      <c r="A1468" s="16">
        <v>46148</v>
      </c>
      <c r="B1468" s="16">
        <v>46149</v>
      </c>
      <c r="C1468" s="21">
        <v>51521095</v>
      </c>
      <c r="D1468" s="16" t="str">
        <f>IFERROR(VLOOKUP(Tabela5[[#This Row],[PREFIXO ]],Tabela4[#All],2,0),"CENTRO DE CUSTO")</f>
        <v>COLHEIT DE GRÃOS N.HOLLAND CR 8.90</v>
      </c>
      <c r="E1468" s="18" t="s">
        <v>67</v>
      </c>
      <c r="F1468" s="21">
        <v>162</v>
      </c>
      <c r="G1468" s="22">
        <v>750</v>
      </c>
      <c r="H1468" s="22"/>
      <c r="I1468" s="22">
        <f t="shared" si="23"/>
        <v>750</v>
      </c>
      <c r="J1468" s="18" t="s">
        <v>1120</v>
      </c>
      <c r="K1468" s="18">
        <v>9856935</v>
      </c>
      <c r="L1468" s="18">
        <v>925408</v>
      </c>
      <c r="M1468" s="18" t="s">
        <v>3384</v>
      </c>
      <c r="N1468" s="16" t="s">
        <v>2365</v>
      </c>
      <c r="O1468" s="18" t="s">
        <v>3385</v>
      </c>
      <c r="P1468" s="18" t="s">
        <v>3386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>
      <c r="A1469" s="16">
        <v>46148</v>
      </c>
      <c r="B1469" s="16">
        <v>46149</v>
      </c>
      <c r="C1469" s="21">
        <v>51521072</v>
      </c>
      <c r="D1469" s="16" t="str">
        <f>IFERROR(VLOOKUP(Tabela5[[#This Row],[PREFIXO ]],Tabela4[#All],2,0),"CENTRO DE CUSTO")</f>
        <v>COLHED ALGODÃO JOHN DEERE CP 690</v>
      </c>
      <c r="E1469" s="18" t="s">
        <v>173</v>
      </c>
      <c r="F1469" s="21">
        <v>749</v>
      </c>
      <c r="G1469" s="22">
        <v>1536.92</v>
      </c>
      <c r="H1469" s="22">
        <v>13326.6</v>
      </c>
      <c r="I1469" s="22">
        <f t="shared" si="23"/>
        <v>14863.52</v>
      </c>
      <c r="J1469" s="18" t="s">
        <v>1120</v>
      </c>
      <c r="K1469" s="18">
        <v>9856725</v>
      </c>
      <c r="L1469" s="18">
        <v>925264</v>
      </c>
      <c r="M1469" s="18" t="s">
        <v>3393</v>
      </c>
      <c r="N1469" s="16" t="s">
        <v>3022</v>
      </c>
      <c r="O1469" s="18" t="s">
        <v>3394</v>
      </c>
      <c r="P1469" s="18" t="s">
        <v>3379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>
      <c r="A1470" s="16">
        <v>46148</v>
      </c>
      <c r="B1470" s="16">
        <v>46149</v>
      </c>
      <c r="C1470" s="21">
        <v>51521069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811</v>
      </c>
      <c r="G1470" s="22">
        <v>1510.92</v>
      </c>
      <c r="H1470" s="22">
        <v>6179.79</v>
      </c>
      <c r="I1470" s="22">
        <f t="shared" si="23"/>
        <v>7690.71</v>
      </c>
      <c r="J1470" s="18" t="s">
        <v>1120</v>
      </c>
      <c r="K1470" s="18">
        <v>9856794</v>
      </c>
      <c r="L1470" s="18">
        <v>925149</v>
      </c>
      <c r="M1470" s="18" t="s">
        <v>3395</v>
      </c>
      <c r="N1470" s="16" t="s">
        <v>3022</v>
      </c>
      <c r="O1470" s="18" t="s">
        <v>3396</v>
      </c>
      <c r="P1470" s="18" t="s">
        <v>3379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>
      <c r="A1471" s="16">
        <v>46148</v>
      </c>
      <c r="B1471" s="16">
        <v>46149</v>
      </c>
      <c r="C1471" s="21">
        <v>51521056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754</v>
      </c>
      <c r="G1471" s="22">
        <v>1466.92</v>
      </c>
      <c r="H1471" s="22">
        <v>6179.79</v>
      </c>
      <c r="I1471" s="22">
        <f t="shared" si="23"/>
        <v>7646.71</v>
      </c>
      <c r="J1471" s="18" t="s">
        <v>1120</v>
      </c>
      <c r="K1471" s="18">
        <v>9856699</v>
      </c>
      <c r="L1471" s="18">
        <v>925165</v>
      </c>
      <c r="M1471" s="18" t="s">
        <v>3397</v>
      </c>
      <c r="N1471" s="16" t="s">
        <v>3022</v>
      </c>
      <c r="O1471" s="18" t="s">
        <v>3398</v>
      </c>
      <c r="P1471" s="18" t="s">
        <v>3379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>
      <c r="A1472" s="16">
        <v>46148</v>
      </c>
      <c r="B1472" s="16">
        <v>46149</v>
      </c>
      <c r="C1472" s="21">
        <v>51521059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760</v>
      </c>
      <c r="G1472" s="22">
        <v>4590.08</v>
      </c>
      <c r="H1472" s="22">
        <v>2139.9</v>
      </c>
      <c r="I1472" s="22">
        <f t="shared" ref="I1472:I1535" si="24">G1472+H1472</f>
        <v>6729.98</v>
      </c>
      <c r="J1472" s="18" t="s">
        <v>1120</v>
      </c>
      <c r="K1472" s="18">
        <v>9856748</v>
      </c>
      <c r="L1472" s="18">
        <v>925235</v>
      </c>
      <c r="M1472" s="18" t="s">
        <v>3399</v>
      </c>
      <c r="N1472" s="16" t="s">
        <v>3022</v>
      </c>
      <c r="O1472" s="18" t="s">
        <v>3400</v>
      </c>
      <c r="P1472" s="18" t="s">
        <v>3379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>
      <c r="A1473" s="16">
        <v>46148</v>
      </c>
      <c r="B1473" s="16">
        <v>46149</v>
      </c>
      <c r="C1473" s="21">
        <v>51521047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812</v>
      </c>
      <c r="G1473" s="22">
        <v>1510.92</v>
      </c>
      <c r="H1473" s="22">
        <v>4304.79</v>
      </c>
      <c r="I1473" s="22">
        <f t="shared" si="24"/>
        <v>5815.71</v>
      </c>
      <c r="J1473" s="18" t="s">
        <v>1120</v>
      </c>
      <c r="K1473" s="18">
        <v>9856782</v>
      </c>
      <c r="L1473" s="18">
        <v>925051</v>
      </c>
      <c r="M1473" s="18" t="s">
        <v>3401</v>
      </c>
      <c r="N1473" s="16" t="s">
        <v>3022</v>
      </c>
      <c r="O1473" s="18" t="s">
        <v>3402</v>
      </c>
      <c r="P1473" s="18" t="s">
        <v>3379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>
      <c r="A1474" s="16">
        <v>46148</v>
      </c>
      <c r="B1474" s="16">
        <v>46149</v>
      </c>
      <c r="C1474" s="21">
        <v>51521109</v>
      </c>
      <c r="D1474" s="16" t="str">
        <f>IFERROR(VLOOKUP(Tabela5[[#This Row],[PREFIXO ]],Tabela4[#All],2,0),"CENTRO DE CUSTO")</f>
        <v>COLHEIT DE GRÃOS N.HOLLAND CR 8.90</v>
      </c>
      <c r="E1474" s="18" t="s">
        <v>308</v>
      </c>
      <c r="F1474" s="21" t="s">
        <v>1749</v>
      </c>
      <c r="G1474" s="22">
        <v>2990</v>
      </c>
      <c r="H1474" s="22"/>
      <c r="I1474" s="22">
        <f t="shared" si="24"/>
        <v>2990</v>
      </c>
      <c r="J1474" s="18" t="s">
        <v>1120</v>
      </c>
      <c r="K1474" s="18">
        <v>9857010</v>
      </c>
      <c r="L1474" s="18">
        <v>925381</v>
      </c>
      <c r="M1474" s="18" t="s">
        <v>3403</v>
      </c>
      <c r="N1474" s="16" t="s">
        <v>2538</v>
      </c>
      <c r="O1474" s="18" t="s">
        <v>1856</v>
      </c>
      <c r="P1474" s="18" t="s">
        <v>3404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>
      <c r="A1475" s="16">
        <v>46148</v>
      </c>
      <c r="B1475" s="16">
        <v>46149</v>
      </c>
      <c r="C1475" s="21">
        <v>51519034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1555</v>
      </c>
      <c r="G1475" s="22">
        <v>879.3</v>
      </c>
      <c r="H1475" s="22"/>
      <c r="I1475" s="22">
        <f t="shared" si="24"/>
        <v>879.3</v>
      </c>
      <c r="J1475" s="18" t="s">
        <v>1120</v>
      </c>
      <c r="K1475" s="18">
        <v>9857004</v>
      </c>
      <c r="L1475" s="18">
        <v>925381</v>
      </c>
      <c r="M1475" s="18" t="s">
        <v>3403</v>
      </c>
      <c r="N1475" s="16" t="s">
        <v>2538</v>
      </c>
      <c r="O1475" s="18" t="s">
        <v>1856</v>
      </c>
      <c r="P1475" s="18" t="s">
        <v>3404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>
      <c r="A1476" s="16">
        <v>46148</v>
      </c>
      <c r="B1476" s="16">
        <v>46149</v>
      </c>
      <c r="C1476" s="21">
        <v>25530055</v>
      </c>
      <c r="D1476" s="16" t="str">
        <f>IFERROR(VLOOKUP(Tabela5[[#This Row],[PREFIXO ]],Tabela4[#All],2,0),"CENTRO DE CUSTO")</f>
        <v>PLATAF COLHEITA JOHN DEERE HYDRAFLEX 740</v>
      </c>
      <c r="E1476" s="18" t="s">
        <v>308</v>
      </c>
      <c r="F1476" s="21" t="s">
        <v>1552</v>
      </c>
      <c r="G1476" s="22">
        <v>586.79999999999995</v>
      </c>
      <c r="H1476" s="22"/>
      <c r="I1476" s="22">
        <f t="shared" si="24"/>
        <v>586.79999999999995</v>
      </c>
      <c r="J1476" s="18" t="s">
        <v>1120</v>
      </c>
      <c r="K1476" s="18">
        <v>9856977</v>
      </c>
      <c r="L1476" s="18">
        <v>925381</v>
      </c>
      <c r="M1476" s="18" t="s">
        <v>3403</v>
      </c>
      <c r="N1476" s="16" t="s">
        <v>2538</v>
      </c>
      <c r="O1476" s="18" t="s">
        <v>1856</v>
      </c>
      <c r="P1476" s="18" t="s">
        <v>3404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>
      <c r="A1477" s="16">
        <v>46148</v>
      </c>
      <c r="B1477" s="16">
        <v>46149</v>
      </c>
      <c r="C1477" s="21">
        <v>500580220</v>
      </c>
      <c r="D1477" s="16" t="str">
        <f>IFERROR(VLOOKUP(Tabela5[[#This Row],[PREFIXO ]],Tabela4[#All],2,0),"CENTRO DE CUSTO")</f>
        <v>Implementos</v>
      </c>
      <c r="E1477" s="18" t="s">
        <v>218</v>
      </c>
      <c r="F1477" s="21">
        <v>26694</v>
      </c>
      <c r="G1477" s="22">
        <v>1407</v>
      </c>
      <c r="H1477" s="22"/>
      <c r="I1477" s="22">
        <f t="shared" si="24"/>
        <v>1407</v>
      </c>
      <c r="J1477" s="18" t="s">
        <v>1196</v>
      </c>
      <c r="K1477" s="18">
        <v>5020665</v>
      </c>
      <c r="L1477" s="18">
        <v>924275</v>
      </c>
      <c r="M1477" s="18" t="s">
        <v>3405</v>
      </c>
      <c r="N1477" s="16" t="s">
        <v>2671</v>
      </c>
      <c r="O1477" s="18" t="s">
        <v>3406</v>
      </c>
      <c r="P1477" s="18" t="s">
        <v>3039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>
      <c r="A1478" s="16">
        <v>46148</v>
      </c>
      <c r="B1478" s="16">
        <v>46149</v>
      </c>
      <c r="C1478" s="21">
        <v>41521070</v>
      </c>
      <c r="D1478" s="16" t="str">
        <f>IFERROR(VLOOKUP(Tabela5[[#This Row],[PREFIXO ]],Tabela4[#All],2,0),"CENTRO DE CUSTO")</f>
        <v>MICROONIBUS SPRINTER 417 CDI K42B</v>
      </c>
      <c r="E1478" s="18" t="s">
        <v>110</v>
      </c>
      <c r="F1478" s="21">
        <v>8754</v>
      </c>
      <c r="G1478" s="22">
        <v>1352</v>
      </c>
      <c r="H1478" s="22">
        <v>4589.26</v>
      </c>
      <c r="I1478" s="22">
        <f t="shared" si="24"/>
        <v>5941.26</v>
      </c>
      <c r="J1478" s="18" t="s">
        <v>1082</v>
      </c>
      <c r="K1478" s="18">
        <v>9855451</v>
      </c>
      <c r="L1478" s="18">
        <v>924926</v>
      </c>
      <c r="M1478" s="18" t="s">
        <v>3407</v>
      </c>
      <c r="N1478" s="16" t="s">
        <v>2365</v>
      </c>
      <c r="O1478" s="18"/>
      <c r="P1478" s="18"/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FALTA NF</v>
      </c>
      <c r="R1478" s="36"/>
    </row>
    <row r="1479" spans="1:18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8712</v>
      </c>
      <c r="G1479" s="22">
        <v>915.2</v>
      </c>
      <c r="H1479" s="22">
        <v>1943.66</v>
      </c>
      <c r="I1479" s="22">
        <f t="shared" si="24"/>
        <v>2858.86</v>
      </c>
      <c r="J1479" s="18" t="s">
        <v>1082</v>
      </c>
      <c r="K1479" s="18">
        <v>9855455</v>
      </c>
      <c r="L1479" s="18">
        <v>924826</v>
      </c>
      <c r="M1479" s="18" t="s">
        <v>3408</v>
      </c>
      <c r="N1479" s="16" t="s">
        <v>2998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>
      <c r="A1480" s="16">
        <v>46148</v>
      </c>
      <c r="B1480" s="16">
        <v>46149</v>
      </c>
      <c r="C1480" s="21">
        <v>41521066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34155</v>
      </c>
      <c r="G1480" s="22">
        <v>624</v>
      </c>
      <c r="H1480" s="22">
        <v>2163.3000000000002</v>
      </c>
      <c r="I1480" s="22">
        <f t="shared" si="24"/>
        <v>2787.3</v>
      </c>
      <c r="J1480" s="18" t="s">
        <v>1082</v>
      </c>
      <c r="K1480" s="18">
        <v>9855459</v>
      </c>
      <c r="L1480" s="18">
        <v>924785</v>
      </c>
      <c r="M1480" s="18" t="s">
        <v>3409</v>
      </c>
      <c r="N1480" s="16" t="s">
        <v>2998</v>
      </c>
      <c r="O1480" s="18" t="s">
        <v>3410</v>
      </c>
      <c r="P1480" s="18" t="s">
        <v>3411</v>
      </c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CONCLUÍDO</v>
      </c>
      <c r="R1480" s="36"/>
    </row>
    <row r="1481" spans="1:18">
      <c r="A1481" s="16">
        <v>46153</v>
      </c>
      <c r="B1481" s="16">
        <v>46153</v>
      </c>
      <c r="C1481" s="21">
        <v>500580085</v>
      </c>
      <c r="D1481" s="16" t="str">
        <f>IFERROR(VLOOKUP(Tabela5[[#This Row],[PREFIXO ]],Tabela4[#All],2,0),"CENTRO DE CUSTO")</f>
        <v>Caminhões Tanque</v>
      </c>
      <c r="E1481" s="18" t="s">
        <v>345</v>
      </c>
      <c r="F1481" s="21">
        <v>4126</v>
      </c>
      <c r="G1481" s="22">
        <v>177.12</v>
      </c>
      <c r="H1481" s="22"/>
      <c r="I1481" s="22">
        <f t="shared" si="24"/>
        <v>177.12</v>
      </c>
      <c r="J1481" s="18" t="s">
        <v>1196</v>
      </c>
      <c r="K1481" s="18">
        <v>5020695</v>
      </c>
      <c r="L1481" s="18">
        <v>927437</v>
      </c>
      <c r="M1481" s="18" t="s">
        <v>3412</v>
      </c>
      <c r="N1481" s="16" t="s">
        <v>2365</v>
      </c>
      <c r="O1481" s="18"/>
      <c r="P1481" s="18"/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FALTA NF</v>
      </c>
      <c r="R1481" s="36"/>
    </row>
    <row r="1482" spans="1:18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1262</v>
      </c>
      <c r="K1482" s="18">
        <v>9856082</v>
      </c>
      <c r="L1482" s="18">
        <v>924301</v>
      </c>
      <c r="M1482" s="18" t="s">
        <v>3413</v>
      </c>
      <c r="N1482" s="16">
        <v>46183</v>
      </c>
      <c r="O1482" s="18" t="s">
        <v>3414</v>
      </c>
      <c r="P1482" s="18" t="s">
        <v>3415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1262</v>
      </c>
      <c r="K1483" s="18">
        <v>9856083</v>
      </c>
      <c r="L1483" s="18">
        <v>924301</v>
      </c>
      <c r="M1483" s="18" t="s">
        <v>3413</v>
      </c>
      <c r="N1483" s="16">
        <v>46183</v>
      </c>
      <c r="O1483" s="18" t="s">
        <v>3414</v>
      </c>
      <c r="P1483" s="18" t="s">
        <v>3415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>
      <c r="A1484" s="16">
        <v>46148</v>
      </c>
      <c r="B1484" s="16">
        <v>46149</v>
      </c>
      <c r="C1484" s="21" t="s">
        <v>3416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1196</v>
      </c>
      <c r="K1484" s="18" t="s">
        <v>3417</v>
      </c>
      <c r="L1484" s="18">
        <v>924048</v>
      </c>
      <c r="M1484" s="18" t="s">
        <v>3418</v>
      </c>
      <c r="N1484" s="16" t="s">
        <v>2998</v>
      </c>
      <c r="O1484" s="18" t="s">
        <v>2107</v>
      </c>
      <c r="P1484" s="18" t="s">
        <v>3419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1262</v>
      </c>
      <c r="K1485" s="18">
        <v>5020680</v>
      </c>
      <c r="L1485" s="18">
        <v>923724</v>
      </c>
      <c r="M1485" s="18" t="s">
        <v>3420</v>
      </c>
      <c r="N1485" s="16" t="s">
        <v>2671</v>
      </c>
      <c r="O1485" s="18" t="s">
        <v>2109</v>
      </c>
      <c r="P1485" s="18" t="s">
        <v>3419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1077</v>
      </c>
      <c r="K1486" s="18">
        <v>5020684</v>
      </c>
      <c r="L1486" s="18">
        <v>923971</v>
      </c>
      <c r="M1486" s="18" t="s">
        <v>3421</v>
      </c>
      <c r="N1486" s="16" t="s">
        <v>2671</v>
      </c>
      <c r="O1486" s="18" t="s">
        <v>2052</v>
      </c>
      <c r="P1486" s="18" t="s">
        <v>3419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3422</v>
      </c>
      <c r="G1487" s="22">
        <v>52.99</v>
      </c>
      <c r="H1487" s="22">
        <v>179.81</v>
      </c>
      <c r="I1487" s="22">
        <f t="shared" si="24"/>
        <v>232.8</v>
      </c>
      <c r="J1487" s="18" t="s">
        <v>1196</v>
      </c>
      <c r="K1487" s="18">
        <v>9856084</v>
      </c>
      <c r="L1487" s="18">
        <v>924172</v>
      </c>
      <c r="M1487" s="18" t="s">
        <v>3423</v>
      </c>
      <c r="N1487" s="16" t="s">
        <v>2671</v>
      </c>
      <c r="O1487" s="18" t="s">
        <v>3424</v>
      </c>
      <c r="P1487" s="18" t="s">
        <v>3425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1196</v>
      </c>
      <c r="K1488" s="18">
        <v>9857116</v>
      </c>
      <c r="L1488" s="18">
        <v>924219</v>
      </c>
      <c r="M1488" s="18" t="s">
        <v>3426</v>
      </c>
      <c r="N1488" s="16" t="s">
        <v>2998</v>
      </c>
      <c r="O1488" s="18" t="s">
        <v>3427</v>
      </c>
      <c r="P1488" s="18" t="s">
        <v>3428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1308</v>
      </c>
      <c r="G1489" s="22">
        <v>15786</v>
      </c>
      <c r="H1489" s="22"/>
      <c r="I1489" s="22">
        <f t="shared" si="24"/>
        <v>15786</v>
      </c>
      <c r="J1489" s="18" t="s">
        <v>1120</v>
      </c>
      <c r="K1489" s="18">
        <v>9856798</v>
      </c>
      <c r="L1489" s="18">
        <v>925312</v>
      </c>
      <c r="M1489" s="18" t="s">
        <v>3429</v>
      </c>
      <c r="N1489" s="16" t="s">
        <v>3377</v>
      </c>
      <c r="O1489" s="18" t="s">
        <v>2483</v>
      </c>
      <c r="P1489" s="18" t="s">
        <v>3430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2172</v>
      </c>
      <c r="G1490" s="22">
        <v>15775</v>
      </c>
      <c r="H1490" s="22"/>
      <c r="I1490" s="22">
        <f t="shared" si="24"/>
        <v>15775</v>
      </c>
      <c r="J1490" s="18" t="s">
        <v>1120</v>
      </c>
      <c r="K1490" s="18">
        <v>9856825</v>
      </c>
      <c r="L1490" s="18">
        <v>925366</v>
      </c>
      <c r="M1490" s="18" t="s">
        <v>3431</v>
      </c>
      <c r="N1490" s="16" t="s">
        <v>3377</v>
      </c>
      <c r="O1490" s="18" t="s">
        <v>1369</v>
      </c>
      <c r="P1490" s="18" t="s">
        <v>3430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1306</v>
      </c>
      <c r="G1491" s="22">
        <v>1681.01</v>
      </c>
      <c r="H1491" s="22"/>
      <c r="I1491" s="22">
        <f t="shared" si="24"/>
        <v>1681.01</v>
      </c>
      <c r="J1491" s="18" t="s">
        <v>1120</v>
      </c>
      <c r="K1491" s="18">
        <v>9856796</v>
      </c>
      <c r="L1491" s="18">
        <v>925312</v>
      </c>
      <c r="M1491" s="18" t="s">
        <v>3429</v>
      </c>
      <c r="N1491" s="16" t="s">
        <v>3377</v>
      </c>
      <c r="O1491" s="18" t="s">
        <v>2483</v>
      </c>
      <c r="P1491" s="18" t="s">
        <v>3430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>
      <c r="A1492" s="16">
        <v>46153</v>
      </c>
      <c r="B1492" s="16">
        <v>46155</v>
      </c>
      <c r="C1492" s="21">
        <v>500580090</v>
      </c>
      <c r="D1492" s="16" t="str">
        <f>IFERROR(VLOOKUP(Tabela5[[#This Row],[PREFIXO ]],Tabela4[#All],2,0),"CENTRO DE CUSTO")</f>
        <v>Plantadeiras</v>
      </c>
      <c r="E1492" s="18" t="s">
        <v>9</v>
      </c>
      <c r="F1492" s="21">
        <v>2562</v>
      </c>
      <c r="G1492" s="22">
        <v>1933.4</v>
      </c>
      <c r="H1492" s="22"/>
      <c r="I1492" s="22">
        <f t="shared" si="24"/>
        <v>1933.4</v>
      </c>
      <c r="J1492" s="18" t="s">
        <v>1196</v>
      </c>
      <c r="K1492" s="18">
        <v>5020699</v>
      </c>
      <c r="L1492" s="18">
        <v>928420</v>
      </c>
      <c r="M1492" s="18" t="s">
        <v>3432</v>
      </c>
      <c r="N1492" s="16" t="s">
        <v>2538</v>
      </c>
      <c r="O1492" s="18" t="s">
        <v>3433</v>
      </c>
      <c r="P1492" s="18" t="s">
        <v>3434</v>
      </c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CONCLUÍDO</v>
      </c>
      <c r="R1492" s="36"/>
    </row>
    <row r="1493" spans="1:18">
      <c r="A1493" s="16">
        <v>46153</v>
      </c>
      <c r="B1493" s="16">
        <v>46154</v>
      </c>
      <c r="C1493" s="21">
        <v>13130077</v>
      </c>
      <c r="D1493" s="16" t="str">
        <f>IFERROR(VLOOKUP(Tabela5[[#This Row],[PREFIXO ]],Tabela4[#All],2,0),"CENTRO DE CUSTO")</f>
        <v>CENTRO DE CUSTO</v>
      </c>
      <c r="E1493" s="18" t="s">
        <v>370</v>
      </c>
      <c r="F1493" s="21">
        <v>2253</v>
      </c>
      <c r="G1493" s="22">
        <v>1061.83</v>
      </c>
      <c r="H1493" s="22">
        <v>992.96</v>
      </c>
      <c r="I1493" s="22">
        <f t="shared" si="24"/>
        <v>2054.79</v>
      </c>
      <c r="J1493" s="18" t="s">
        <v>1262</v>
      </c>
      <c r="K1493" s="18">
        <v>9859602</v>
      </c>
      <c r="L1493" s="18">
        <v>928048</v>
      </c>
      <c r="M1493" s="18" t="s">
        <v>3435</v>
      </c>
      <c r="N1493" s="16" t="s">
        <v>3436</v>
      </c>
      <c r="O1493" s="18" t="s">
        <v>3437</v>
      </c>
      <c r="P1493" s="18" t="s">
        <v>3438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 t="s">
        <v>3297</v>
      </c>
    </row>
    <row r="1494" spans="1:18">
      <c r="A1494" s="16">
        <v>46153</v>
      </c>
      <c r="B1494" s="16">
        <v>46154</v>
      </c>
      <c r="C1494" s="21">
        <v>13130076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2254</v>
      </c>
      <c r="G1494" s="22">
        <v>305.14</v>
      </c>
      <c r="H1494" s="22">
        <v>992.96</v>
      </c>
      <c r="I1494" s="22">
        <f t="shared" si="24"/>
        <v>1298.0999999999999</v>
      </c>
      <c r="J1494" s="18" t="s">
        <v>1262</v>
      </c>
      <c r="K1494" s="18">
        <v>9859609</v>
      </c>
      <c r="L1494" s="18">
        <v>928048</v>
      </c>
      <c r="M1494" s="18" t="s">
        <v>3435</v>
      </c>
      <c r="N1494" s="16" t="s">
        <v>3436</v>
      </c>
      <c r="O1494" s="18" t="s">
        <v>3437</v>
      </c>
      <c r="P1494" s="18" t="s">
        <v>3438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3297</v>
      </c>
    </row>
    <row r="1495" spans="1:18">
      <c r="A1495" s="16">
        <v>46153</v>
      </c>
      <c r="B1495" s="16">
        <v>46154</v>
      </c>
      <c r="C1495" s="21">
        <v>13130078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2255</v>
      </c>
      <c r="G1495" s="22">
        <v>402.56</v>
      </c>
      <c r="H1495" s="22"/>
      <c r="I1495" s="22">
        <f t="shared" si="24"/>
        <v>402.56</v>
      </c>
      <c r="J1495" s="18" t="s">
        <v>1262</v>
      </c>
      <c r="K1495" s="18">
        <v>9859607</v>
      </c>
      <c r="L1495" s="18">
        <v>928048</v>
      </c>
      <c r="M1495" s="18" t="s">
        <v>3435</v>
      </c>
      <c r="N1495" s="16" t="s">
        <v>3436</v>
      </c>
      <c r="O1495" s="18" t="s">
        <v>3437</v>
      </c>
      <c r="P1495" s="18" t="s">
        <v>3438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3297</v>
      </c>
    </row>
    <row r="1496" spans="1:18">
      <c r="A1496" s="16">
        <v>46153</v>
      </c>
      <c r="B1496" s="16">
        <v>46153</v>
      </c>
      <c r="C1496" s="21">
        <v>31522011</v>
      </c>
      <c r="D1496" s="16" t="str">
        <f>IFERROR(VLOOKUP(Tabela5[[#This Row],[PREFIXO ]],Tabela4[#All],2,0),"CENTRO DE CUSTO")</f>
        <v>CENTRO DE CUSTO</v>
      </c>
      <c r="E1496" s="18" t="s">
        <v>34</v>
      </c>
      <c r="F1496" s="21">
        <v>71970</v>
      </c>
      <c r="G1496" s="22"/>
      <c r="H1496" s="22">
        <v>1520</v>
      </c>
      <c r="I1496" s="22">
        <f t="shared" si="24"/>
        <v>1520</v>
      </c>
      <c r="J1496" s="18" t="s">
        <v>1077</v>
      </c>
      <c r="K1496" s="18">
        <v>9859728</v>
      </c>
      <c r="L1496" s="18">
        <v>927035</v>
      </c>
      <c r="M1496" s="18" t="s">
        <v>3439</v>
      </c>
      <c r="N1496" s="16" t="s">
        <v>3022</v>
      </c>
      <c r="O1496" s="18" t="s">
        <v>3440</v>
      </c>
      <c r="P1496" s="18" t="s">
        <v>3428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/>
    </row>
    <row r="1497" spans="1:18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41114</v>
      </c>
      <c r="G1497" s="22">
        <v>850</v>
      </c>
      <c r="H1497" s="22"/>
      <c r="I1497" s="22">
        <f t="shared" si="24"/>
        <v>850</v>
      </c>
      <c r="J1497" s="18" t="s">
        <v>1077</v>
      </c>
      <c r="K1497" s="18">
        <v>9859719</v>
      </c>
      <c r="L1497" s="18">
        <v>927035</v>
      </c>
      <c r="M1497" s="18" t="s">
        <v>3439</v>
      </c>
      <c r="N1497" s="16" t="s">
        <v>3022</v>
      </c>
      <c r="O1497" s="18" t="s">
        <v>3440</v>
      </c>
      <c r="P1497" s="18" t="s">
        <v>3428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41116</v>
      </c>
      <c r="G1498" s="22">
        <v>188</v>
      </c>
      <c r="H1498" s="22"/>
      <c r="I1498" s="22">
        <f t="shared" si="24"/>
        <v>188</v>
      </c>
      <c r="J1498" s="18" t="s">
        <v>1077</v>
      </c>
      <c r="K1498" s="18">
        <v>9859717</v>
      </c>
      <c r="L1498" s="18">
        <v>927035</v>
      </c>
      <c r="M1498" s="18" t="s">
        <v>3439</v>
      </c>
      <c r="N1498" s="16" t="s">
        <v>3022</v>
      </c>
      <c r="O1498" s="18" t="s">
        <v>3440</v>
      </c>
      <c r="P1498" s="18" t="s">
        <v>3428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>
      <c r="A1499" s="16">
        <v>46153</v>
      </c>
      <c r="B1499" s="16">
        <v>46155</v>
      </c>
      <c r="C1499" s="21">
        <v>12070008</v>
      </c>
      <c r="D1499" s="16" t="str">
        <f>IFERROR(VLOOKUP(Tabela5[[#This Row],[PREFIXO ]],Tabela4[#All],2,0),"CENTRO DE CUSTO")</f>
        <v>VAN MICROBUS FORD TRANSIT 410 B AUT</v>
      </c>
      <c r="E1499" s="18" t="s">
        <v>284</v>
      </c>
      <c r="F1499" s="21">
        <v>4589</v>
      </c>
      <c r="G1499" s="22">
        <v>364.13</v>
      </c>
      <c r="H1499" s="22">
        <v>2409.2139999999999</v>
      </c>
      <c r="I1499" s="22">
        <f t="shared" si="24"/>
        <v>2773.3440000000001</v>
      </c>
      <c r="J1499" s="18" t="s">
        <v>1082</v>
      </c>
      <c r="K1499" s="18">
        <v>9860294</v>
      </c>
      <c r="L1499" s="18">
        <v>928514</v>
      </c>
      <c r="M1499" s="18" t="s">
        <v>3441</v>
      </c>
      <c r="N1499" s="16" t="s">
        <v>2538</v>
      </c>
      <c r="O1499" s="18" t="s">
        <v>3442</v>
      </c>
      <c r="P1499" s="18" t="s">
        <v>3443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>
      <c r="A1500" s="16">
        <v>46153</v>
      </c>
      <c r="B1500" s="16">
        <v>46154</v>
      </c>
      <c r="C1500" s="21">
        <v>35005016</v>
      </c>
      <c r="D1500" s="16" t="str">
        <f>IFERROR(VLOOKUP(Tabela5[[#This Row],[PREFIXO ]],Tabela4[#All],2,0),"CENTRO DE CUSTO")</f>
        <v>PULV AUTOPROP JACTO UNIPORT 3030</v>
      </c>
      <c r="E1500" s="18" t="s">
        <v>49</v>
      </c>
      <c r="F1500" s="21" t="s">
        <v>3444</v>
      </c>
      <c r="G1500" s="22">
        <v>23886.400000000001</v>
      </c>
      <c r="H1500" s="22"/>
      <c r="I1500" s="22">
        <f t="shared" si="24"/>
        <v>23886.400000000001</v>
      </c>
      <c r="J1500" s="18" t="s">
        <v>1077</v>
      </c>
      <c r="K1500" s="18">
        <v>9859776</v>
      </c>
      <c r="L1500" s="18">
        <v>928280</v>
      </c>
      <c r="M1500" s="18" t="s">
        <v>3445</v>
      </c>
      <c r="N1500" s="16" t="s">
        <v>2678</v>
      </c>
      <c r="O1500" s="18" t="s">
        <v>3446</v>
      </c>
      <c r="P1500" s="18" t="s">
        <v>2678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>
      <c r="A1501" s="16">
        <v>46153</v>
      </c>
      <c r="B1501" s="16">
        <v>46155</v>
      </c>
      <c r="C1501" s="21">
        <v>35009001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3447</v>
      </c>
      <c r="G1501" s="22">
        <v>9950</v>
      </c>
      <c r="H1501" s="22"/>
      <c r="I1501" s="22">
        <f t="shared" si="24"/>
        <v>9950</v>
      </c>
      <c r="J1501" s="18" t="s">
        <v>1262</v>
      </c>
      <c r="K1501" s="18">
        <v>9859766</v>
      </c>
      <c r="L1501" s="18">
        <v>928305</v>
      </c>
      <c r="M1501" s="18" t="s">
        <v>3448</v>
      </c>
      <c r="N1501" s="16" t="s">
        <v>2538</v>
      </c>
      <c r="O1501" s="18" t="s">
        <v>3449</v>
      </c>
      <c r="P1501" s="18" t="s">
        <v>2538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>
      <c r="A1502" s="16">
        <v>46153</v>
      </c>
      <c r="B1502" s="16">
        <v>46154</v>
      </c>
      <c r="C1502" s="21">
        <v>35005016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1790</v>
      </c>
      <c r="G1502" s="22">
        <v>6080</v>
      </c>
      <c r="H1502" s="22"/>
      <c r="I1502" s="22">
        <f t="shared" si="24"/>
        <v>6080</v>
      </c>
      <c r="J1502" s="18" t="s">
        <v>1077</v>
      </c>
      <c r="K1502" s="18">
        <v>9859779</v>
      </c>
      <c r="L1502" s="18">
        <v>928264</v>
      </c>
      <c r="M1502" s="18" t="s">
        <v>3450</v>
      </c>
      <c r="N1502" s="16" t="s">
        <v>2538</v>
      </c>
      <c r="O1502" s="18" t="s">
        <v>3451</v>
      </c>
      <c r="P1502" s="18" t="s">
        <v>2538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>
      <c r="A1503" s="16">
        <v>46153</v>
      </c>
      <c r="B1503" s="16">
        <v>46155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3452</v>
      </c>
      <c r="G1503" s="22">
        <v>5250</v>
      </c>
      <c r="H1503" s="22"/>
      <c r="I1503" s="22">
        <f t="shared" si="24"/>
        <v>5250</v>
      </c>
      <c r="J1503" s="18" t="s">
        <v>1262</v>
      </c>
      <c r="K1503" s="18">
        <v>9859849</v>
      </c>
      <c r="L1503" s="18">
        <v>928305</v>
      </c>
      <c r="M1503" s="18" t="s">
        <v>3448</v>
      </c>
      <c r="N1503" s="16" t="s">
        <v>2538</v>
      </c>
      <c r="O1503" s="18" t="s">
        <v>3449</v>
      </c>
      <c r="P1503" s="18" t="s">
        <v>2538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>
      <c r="A1504" s="16">
        <v>46153</v>
      </c>
      <c r="B1504" s="16">
        <v>46154</v>
      </c>
      <c r="C1504" s="21">
        <v>31521025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3453</v>
      </c>
      <c r="G1504" s="22">
        <v>5250</v>
      </c>
      <c r="H1504" s="22"/>
      <c r="I1504" s="22">
        <f t="shared" si="24"/>
        <v>5250</v>
      </c>
      <c r="J1504" s="18" t="s">
        <v>1077</v>
      </c>
      <c r="K1504" s="18">
        <v>9859765</v>
      </c>
      <c r="L1504" s="18">
        <v>928264</v>
      </c>
      <c r="M1504" s="18" t="s">
        <v>3450</v>
      </c>
      <c r="N1504" s="16" t="s">
        <v>2538</v>
      </c>
      <c r="O1504" s="18" t="s">
        <v>3451</v>
      </c>
      <c r="P1504" s="18" t="s">
        <v>2538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>
      <c r="A1505" s="16">
        <v>46153</v>
      </c>
      <c r="B1505" s="16">
        <v>46154</v>
      </c>
      <c r="C1505" s="21">
        <v>31521016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3454</v>
      </c>
      <c r="G1505" s="22">
        <v>2750</v>
      </c>
      <c r="H1505" s="22"/>
      <c r="I1505" s="22">
        <f t="shared" si="24"/>
        <v>2750</v>
      </c>
      <c r="J1505" s="18" t="s">
        <v>1077</v>
      </c>
      <c r="K1505" s="18">
        <v>9859768</v>
      </c>
      <c r="L1505" s="18">
        <v>928264</v>
      </c>
      <c r="M1505" s="18" t="s">
        <v>3450</v>
      </c>
      <c r="N1505" s="16" t="s">
        <v>2538</v>
      </c>
      <c r="O1505" s="18" t="s">
        <v>3451</v>
      </c>
      <c r="P1505" s="18" t="s">
        <v>2538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>
      <c r="A1506" s="16">
        <v>46153</v>
      </c>
      <c r="B1506" s="16">
        <v>46153</v>
      </c>
      <c r="C1506" s="21">
        <v>61521074</v>
      </c>
      <c r="D1506" s="16" t="str">
        <f>IFERROR(VLOOKUP(Tabela5[[#This Row],[PREFIXO ]],Tabela4[#All],2,0),"CENTRO DE CUSTO")</f>
        <v>CAV MEC PES VOLVO VM 220</v>
      </c>
      <c r="E1506" s="18" t="s">
        <v>49</v>
      </c>
      <c r="F1506" s="21" t="s">
        <v>3455</v>
      </c>
      <c r="G1506" s="22">
        <v>950</v>
      </c>
      <c r="H1506" s="22"/>
      <c r="I1506" s="22">
        <f t="shared" si="24"/>
        <v>950</v>
      </c>
      <c r="J1506" s="18" t="s">
        <v>1077</v>
      </c>
      <c r="K1506" s="18">
        <v>9859736</v>
      </c>
      <c r="L1506" s="18">
        <v>927095</v>
      </c>
      <c r="M1506" s="18" t="s">
        <v>3456</v>
      </c>
      <c r="N1506" s="16" t="s">
        <v>3022</v>
      </c>
      <c r="O1506" s="18" t="s">
        <v>3457</v>
      </c>
      <c r="P1506" s="18" t="s">
        <v>3022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>
      <c r="A1507" s="16">
        <v>46153</v>
      </c>
      <c r="B1507" s="16">
        <v>46153</v>
      </c>
      <c r="C1507" s="21">
        <v>13150004</v>
      </c>
      <c r="D1507" s="16" t="str">
        <f>IFERROR(VLOOKUP(Tabela5[[#This Row],[PREFIXO ]],Tabela4[#All],2,0),"CENTRO DE CUSTO")</f>
        <v>ADUB AUTOPROP JACTO UNIPORT 8030NPK</v>
      </c>
      <c r="E1507" s="18" t="s">
        <v>49</v>
      </c>
      <c r="F1507" s="21" t="s">
        <v>3458</v>
      </c>
      <c r="G1507" s="22">
        <v>870</v>
      </c>
      <c r="H1507" s="22"/>
      <c r="I1507" s="22">
        <f t="shared" si="24"/>
        <v>870</v>
      </c>
      <c r="J1507" s="18" t="s">
        <v>1077</v>
      </c>
      <c r="K1507" s="18">
        <v>9859739</v>
      </c>
      <c r="L1507" s="18">
        <v>927095</v>
      </c>
      <c r="M1507" s="18" t="s">
        <v>3456</v>
      </c>
      <c r="N1507" s="16" t="s">
        <v>3022</v>
      </c>
      <c r="O1507" s="18" t="s">
        <v>3457</v>
      </c>
      <c r="P1507" s="18" t="s">
        <v>3022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>
      <c r="A1508" s="16">
        <v>46153</v>
      </c>
      <c r="B1508" s="16">
        <v>46153</v>
      </c>
      <c r="C1508" s="21">
        <v>31521014</v>
      </c>
      <c r="D1508" s="16" t="str">
        <f>IFERROR(VLOOKUP(Tabela5[[#This Row],[PREFIXO ]],Tabela4[#All],2,0),"CENTRO DE CUSTO")</f>
        <v>PULV AUTOPROP JACTO UNIPORT 3030</v>
      </c>
      <c r="E1508" s="18" t="s">
        <v>49</v>
      </c>
      <c r="F1508" s="21" t="s">
        <v>3163</v>
      </c>
      <c r="G1508" s="22">
        <v>850</v>
      </c>
      <c r="H1508" s="22"/>
      <c r="I1508" s="22">
        <f t="shared" si="24"/>
        <v>850</v>
      </c>
      <c r="J1508" s="18" t="s">
        <v>1077</v>
      </c>
      <c r="K1508" s="18">
        <v>9859734</v>
      </c>
      <c r="L1508" s="18">
        <v>927095</v>
      </c>
      <c r="M1508" s="18" t="s">
        <v>3456</v>
      </c>
      <c r="N1508" s="16" t="s">
        <v>3022</v>
      </c>
      <c r="O1508" s="18" t="s">
        <v>3457</v>
      </c>
      <c r="P1508" s="18" t="s">
        <v>3022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>
      <c r="A1509" s="16">
        <v>46153</v>
      </c>
      <c r="B1509" s="16">
        <v>46153</v>
      </c>
      <c r="C1509" s="21">
        <v>31521046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2814</v>
      </c>
      <c r="G1509" s="22">
        <v>824.8</v>
      </c>
      <c r="H1509" s="22"/>
      <c r="I1509" s="22">
        <f t="shared" si="24"/>
        <v>824.8</v>
      </c>
      <c r="J1509" s="18" t="s">
        <v>1077</v>
      </c>
      <c r="K1509" s="18">
        <v>9859733</v>
      </c>
      <c r="L1509" s="18">
        <v>927095</v>
      </c>
      <c r="M1509" s="18" t="s">
        <v>3456</v>
      </c>
      <c r="N1509" s="16" t="s">
        <v>3022</v>
      </c>
      <c r="O1509" s="18" t="s">
        <v>3457</v>
      </c>
      <c r="P1509" s="18" t="s">
        <v>3022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>
      <c r="A1510" s="16">
        <v>46153</v>
      </c>
      <c r="B1510" s="16">
        <v>46153</v>
      </c>
      <c r="C1510" s="21">
        <v>13130044</v>
      </c>
      <c r="D1510" s="16" t="str">
        <f>IFERROR(VLOOKUP(Tabela5[[#This Row],[PREFIXO ]],Tabela4[#All],2,0),"CENTRO DE CUSTO")</f>
        <v>PULV AUTOPROP JOHN DEERE M4030</v>
      </c>
      <c r="E1510" s="18" t="s">
        <v>49</v>
      </c>
      <c r="F1510" s="21" t="s">
        <v>3459</v>
      </c>
      <c r="G1510" s="22">
        <v>529.20000000000005</v>
      </c>
      <c r="H1510" s="22"/>
      <c r="I1510" s="22">
        <f t="shared" si="24"/>
        <v>529.20000000000005</v>
      </c>
      <c r="J1510" s="18" t="s">
        <v>1077</v>
      </c>
      <c r="K1510" s="18">
        <v>9859738</v>
      </c>
      <c r="L1510" s="18">
        <v>927095</v>
      </c>
      <c r="M1510" s="18" t="s">
        <v>3456</v>
      </c>
      <c r="N1510" s="16" t="s">
        <v>3022</v>
      </c>
      <c r="O1510" s="18" t="s">
        <v>3457</v>
      </c>
      <c r="P1510" s="18" t="s">
        <v>3022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>
      <c r="A1511" s="16">
        <v>46153</v>
      </c>
      <c r="B1511" s="16">
        <v>46153</v>
      </c>
      <c r="C1511" s="21">
        <v>31521031</v>
      </c>
      <c r="D1511" s="16" t="str">
        <f>IFERROR(VLOOKUP(Tabela5[[#This Row],[PREFIXO ]],Tabela4[#All],2,0),"CENTRO DE CUSTO")</f>
        <v>PULV AUTOPROP JACTO UNIPORT 3030</v>
      </c>
      <c r="E1511" s="18" t="s">
        <v>49</v>
      </c>
      <c r="F1511" s="21" t="s">
        <v>3460</v>
      </c>
      <c r="G1511" s="22">
        <v>450</v>
      </c>
      <c r="H1511" s="22"/>
      <c r="I1511" s="22">
        <f t="shared" si="24"/>
        <v>450</v>
      </c>
      <c r="J1511" s="18" t="s">
        <v>1077</v>
      </c>
      <c r="K1511" s="18">
        <v>9859760</v>
      </c>
      <c r="L1511" s="18">
        <v>927095</v>
      </c>
      <c r="M1511" s="18" t="s">
        <v>3456</v>
      </c>
      <c r="N1511" s="16" t="s">
        <v>3022</v>
      </c>
      <c r="O1511" s="18" t="s">
        <v>3457</v>
      </c>
      <c r="P1511" s="18" t="s">
        <v>3022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>
      <c r="A1512" s="16">
        <v>46153</v>
      </c>
      <c r="B1512" s="16">
        <v>46153</v>
      </c>
      <c r="C1512" s="21">
        <v>13150026</v>
      </c>
      <c r="D1512" s="16" t="str">
        <f>IFERROR(VLOOKUP(Tabela5[[#This Row],[PREFIXO ]],Tabela4[#All],2,0),"CENTRO DE CUSTO")</f>
        <v>CENTRO DE CUSTO</v>
      </c>
      <c r="E1512" s="18" t="s">
        <v>49</v>
      </c>
      <c r="F1512" s="21" t="s">
        <v>3461</v>
      </c>
      <c r="G1512" s="22">
        <v>373.2</v>
      </c>
      <c r="H1512" s="22"/>
      <c r="I1512" s="22">
        <f t="shared" si="24"/>
        <v>373.2</v>
      </c>
      <c r="J1512" s="18" t="s">
        <v>1077</v>
      </c>
      <c r="K1512" s="18">
        <v>9859732</v>
      </c>
      <c r="L1512" s="18">
        <v>927095</v>
      </c>
      <c r="M1512" s="18" t="s">
        <v>3456</v>
      </c>
      <c r="N1512" s="16" t="s">
        <v>3022</v>
      </c>
      <c r="O1512" s="18" t="s">
        <v>3457</v>
      </c>
      <c r="P1512" s="18" t="s">
        <v>3022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>
      <c r="A1513" s="16">
        <v>46153</v>
      </c>
      <c r="B1513" s="16">
        <v>46155</v>
      </c>
      <c r="C1513" s="21">
        <v>500580349</v>
      </c>
      <c r="D1513" s="16" t="str">
        <f>IFERROR(VLOOKUP(Tabela5[[#This Row],[PREFIXO ]],Tabela4[#All],2,0),"CENTRO DE CUSTO")</f>
        <v>ADUBADORES AUTOPROPE</v>
      </c>
      <c r="E1513" s="18" t="s">
        <v>51</v>
      </c>
      <c r="F1513" s="21">
        <v>341</v>
      </c>
      <c r="G1513" s="22">
        <v>30000</v>
      </c>
      <c r="H1513" s="22"/>
      <c r="I1513" s="22">
        <f t="shared" si="24"/>
        <v>30000</v>
      </c>
      <c r="J1513" s="18" t="s">
        <v>1262</v>
      </c>
      <c r="K1513" s="18">
        <v>5020760</v>
      </c>
      <c r="L1513" s="18">
        <v>928387</v>
      </c>
      <c r="M1513" s="18" t="s">
        <v>3462</v>
      </c>
      <c r="N1513" s="16" t="s">
        <v>2678</v>
      </c>
      <c r="O1513" s="18" t="s">
        <v>1307</v>
      </c>
      <c r="P1513" s="18" t="s">
        <v>2678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>
      <c r="A1514" s="16">
        <v>46153</v>
      </c>
      <c r="B1514" s="16">
        <v>46153</v>
      </c>
      <c r="C1514" s="21">
        <v>13050020</v>
      </c>
      <c r="D1514" s="16" t="str">
        <f>IFERROR(VLOOKUP(Tabela5[[#This Row],[PREFIXO ]],Tabela4[#All],2,0),"CENTRO DE CUSTO")</f>
        <v>PA CARREGADEIRA JOHN DEERE 524 K II</v>
      </c>
      <c r="E1514" s="18" t="s">
        <v>369</v>
      </c>
      <c r="F1514" s="21" t="s">
        <v>3463</v>
      </c>
      <c r="G1514" s="22">
        <v>205000</v>
      </c>
      <c r="H1514" s="22"/>
      <c r="I1514" s="22">
        <f t="shared" si="24"/>
        <v>205000</v>
      </c>
      <c r="J1514" s="18" t="s">
        <v>3464</v>
      </c>
      <c r="K1514" s="18" t="s">
        <v>3465</v>
      </c>
      <c r="L1514" s="18">
        <v>927334</v>
      </c>
      <c r="M1514" s="18" t="s">
        <v>3466</v>
      </c>
      <c r="N1514" s="16" t="s">
        <v>3022</v>
      </c>
      <c r="O1514" s="18" t="s">
        <v>1298</v>
      </c>
      <c r="P1514" s="18" t="s">
        <v>3404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>
      <c r="A1515" s="16">
        <v>46153</v>
      </c>
      <c r="B1515" s="16">
        <v>46155</v>
      </c>
      <c r="C1515" s="21">
        <v>12070008</v>
      </c>
      <c r="D1515" s="16" t="str">
        <f>IFERROR(VLOOKUP(Tabela5[[#This Row],[PREFIXO ]],Tabela4[#All],2,0),"CENTRO DE CUSTO")</f>
        <v>VAN MICROBUS FORD TRANSIT 410 B AUT</v>
      </c>
      <c r="E1515" s="18" t="s">
        <v>90</v>
      </c>
      <c r="F1515" s="21">
        <v>264</v>
      </c>
      <c r="G1515" s="22">
        <v>420</v>
      </c>
      <c r="H1515" s="22"/>
      <c r="I1515" s="22">
        <f t="shared" si="24"/>
        <v>420</v>
      </c>
      <c r="J1515" s="18" t="s">
        <v>1082</v>
      </c>
      <c r="K1515" s="18">
        <v>9861814</v>
      </c>
      <c r="L1515" s="18" t="s">
        <v>3467</v>
      </c>
      <c r="M1515" s="18" t="s">
        <v>3468</v>
      </c>
      <c r="N1515" s="16">
        <v>46155</v>
      </c>
      <c r="O1515" s="18" t="s">
        <v>3469</v>
      </c>
      <c r="P1515" s="18" t="s">
        <v>3270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>
      <c r="A1516" s="16">
        <v>46153</v>
      </c>
      <c r="B1516" s="16">
        <v>46153</v>
      </c>
      <c r="C1516" s="21">
        <v>8181121</v>
      </c>
      <c r="D1516" s="16" t="str">
        <f>IFERROR(VLOOKUP(Tabela5[[#This Row],[PREFIXO ]],Tabela4[#All],2,0),"CENTRO DE CUSTO")</f>
        <v>SULCADOR POWER 4,5 540RPM</v>
      </c>
      <c r="E1516" s="18" t="s">
        <v>96</v>
      </c>
      <c r="F1516" s="21" t="s">
        <v>3470</v>
      </c>
      <c r="G1516" s="22">
        <v>200</v>
      </c>
      <c r="H1516" s="22">
        <v>1500</v>
      </c>
      <c r="I1516" s="22">
        <f t="shared" si="24"/>
        <v>1700</v>
      </c>
      <c r="J1516" s="18" t="s">
        <v>1196</v>
      </c>
      <c r="K1516" s="18" t="s">
        <v>3471</v>
      </c>
      <c r="L1516" s="18">
        <v>927355</v>
      </c>
      <c r="M1516" s="18" t="s">
        <v>3472</v>
      </c>
      <c r="N1516" s="16" t="s">
        <v>2365</v>
      </c>
      <c r="O1516" s="18" t="s">
        <v>3473</v>
      </c>
      <c r="P1516" s="18" t="s">
        <v>3474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>
      <c r="A1517" s="16">
        <v>46153</v>
      </c>
      <c r="B1517" s="16">
        <v>46155</v>
      </c>
      <c r="C1517" s="21">
        <v>1732414</v>
      </c>
      <c r="D1517" s="16" t="str">
        <f>IFERROR(VLOOKUP(Tabela5[[#This Row],[PREFIXO ]],Tabela4[#All],2,0),"CENTRO DE CUSTO")</f>
        <v>MOTONIVELADORA JOHN DEERE 770 G</v>
      </c>
      <c r="E1517" s="18" t="s">
        <v>340</v>
      </c>
      <c r="F1517" s="21">
        <v>652</v>
      </c>
      <c r="G1517" s="22">
        <v>1780</v>
      </c>
      <c r="H1517" s="22"/>
      <c r="I1517" s="22">
        <f t="shared" si="24"/>
        <v>1780</v>
      </c>
      <c r="J1517" s="18" t="s">
        <v>1262</v>
      </c>
      <c r="K1517" s="18">
        <v>9859907</v>
      </c>
      <c r="L1517" s="18">
        <v>928371</v>
      </c>
      <c r="M1517" s="18" t="s">
        <v>3475</v>
      </c>
      <c r="N1517" s="16" t="s">
        <v>2538</v>
      </c>
      <c r="O1517" s="18" t="s">
        <v>3476</v>
      </c>
      <c r="P1517" s="18" t="s">
        <v>3039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>
      <c r="A1518" s="16">
        <v>46153</v>
      </c>
      <c r="B1518" s="16">
        <v>46155</v>
      </c>
      <c r="C1518" s="21">
        <v>41521069</v>
      </c>
      <c r="D1518" s="16" t="str">
        <f>IFERROR(VLOOKUP(Tabela5[[#This Row],[PREFIXO ]],Tabela4[#All],2,0),"CENTRO DE CUSTO")</f>
        <v>MICROONIBUS SPRINTER 417 CDI K42B</v>
      </c>
      <c r="E1518" s="18" t="s">
        <v>124</v>
      </c>
      <c r="F1518" s="21">
        <v>564</v>
      </c>
      <c r="G1518" s="22">
        <v>3385</v>
      </c>
      <c r="H1518" s="22">
        <v>7527.14</v>
      </c>
      <c r="I1518" s="22">
        <f t="shared" si="24"/>
        <v>10912.14</v>
      </c>
      <c r="J1518" s="18" t="s">
        <v>1082</v>
      </c>
      <c r="K1518" s="18">
        <v>9859911</v>
      </c>
      <c r="L1518" s="18">
        <v>928370</v>
      </c>
      <c r="M1518" s="18" t="s">
        <v>3477</v>
      </c>
      <c r="N1518" s="16" t="s">
        <v>2538</v>
      </c>
      <c r="O1518" s="18" t="s">
        <v>3478</v>
      </c>
      <c r="P1518" s="18" t="s">
        <v>3411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>
      <c r="A1519" s="16">
        <v>46153</v>
      </c>
      <c r="B1519" s="16">
        <v>46155</v>
      </c>
      <c r="C1519" s="21">
        <v>11040023</v>
      </c>
      <c r="D1519" s="16" t="str">
        <f>IFERROR(VLOOKUP(Tabela5[[#This Row],[PREFIXO ]],Tabela4[#All],2,0),"CENTRO DE CUSTO")</f>
        <v>CAV MEC EXT PES SCANIA R500</v>
      </c>
      <c r="E1519" s="18" t="s">
        <v>124</v>
      </c>
      <c r="F1519" s="21">
        <v>565</v>
      </c>
      <c r="G1519" s="22">
        <v>2270.4</v>
      </c>
      <c r="H1519" s="22"/>
      <c r="I1519" s="22">
        <f t="shared" si="24"/>
        <v>2270.4</v>
      </c>
      <c r="J1519" s="18" t="s">
        <v>1082</v>
      </c>
      <c r="K1519" s="18">
        <v>9860356</v>
      </c>
      <c r="L1519" s="18">
        <v>928392</v>
      </c>
      <c r="M1519" s="18" t="s">
        <v>3479</v>
      </c>
      <c r="N1519" s="16" t="s">
        <v>2538</v>
      </c>
      <c r="O1519" s="18" t="s">
        <v>3480</v>
      </c>
      <c r="P1519" s="18" t="s">
        <v>2538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>
      <c r="A1520" s="16">
        <v>46153</v>
      </c>
      <c r="B1520" s="16">
        <v>46155</v>
      </c>
      <c r="C1520" s="21">
        <v>61521107</v>
      </c>
      <c r="D1520" s="16" t="str">
        <f>IFERROR(VLOOKUP(Tabela5[[#This Row],[PREFIXO ]],Tabela4[#All],2,0),"CENTRO DE CUSTO")</f>
        <v>CAMINHAO COMBOIO MB AXOR 3131</v>
      </c>
      <c r="E1520" s="18" t="s">
        <v>371</v>
      </c>
      <c r="F1520" s="21">
        <v>61521107</v>
      </c>
      <c r="G1520" s="22">
        <v>18592</v>
      </c>
      <c r="H1520" s="22"/>
      <c r="I1520" s="22">
        <f t="shared" si="24"/>
        <v>18592</v>
      </c>
      <c r="J1520" s="18" t="s">
        <v>3481</v>
      </c>
      <c r="K1520" s="18">
        <v>9860423</v>
      </c>
      <c r="L1520" s="18">
        <v>931764</v>
      </c>
      <c r="M1520" s="18" t="s">
        <v>3482</v>
      </c>
      <c r="N1520" s="16" t="s">
        <v>2678</v>
      </c>
      <c r="O1520" s="18" t="s">
        <v>2741</v>
      </c>
      <c r="P1520" s="18" t="s">
        <v>3430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>
      <c r="A1521" s="16">
        <v>46153</v>
      </c>
      <c r="B1521" s="16">
        <v>46154</v>
      </c>
      <c r="C1521" s="21">
        <v>51521056</v>
      </c>
      <c r="D1521" s="16" t="str">
        <f>IFERROR(VLOOKUP(Tabela5[[#This Row],[PREFIXO ]],Tabela4[#All],2,0),"CENTRO DE CUSTO")</f>
        <v>COLHED ALGODÃO JOHN DEERE CP 690</v>
      </c>
      <c r="E1521" s="18" t="s">
        <v>71</v>
      </c>
      <c r="F1521" s="21">
        <v>7776</v>
      </c>
      <c r="G1521" s="22">
        <v>11600</v>
      </c>
      <c r="H1521" s="22">
        <v>3762.8</v>
      </c>
      <c r="I1521" s="22">
        <f t="shared" si="24"/>
        <v>15362.8</v>
      </c>
      <c r="J1521" s="18" t="s">
        <v>1120</v>
      </c>
      <c r="K1521" s="18">
        <v>9859857</v>
      </c>
      <c r="L1521" s="18">
        <v>927795</v>
      </c>
      <c r="M1521" s="18" t="s">
        <v>3483</v>
      </c>
      <c r="N1521" s="16" t="s">
        <v>3484</v>
      </c>
      <c r="O1521" s="18" t="s">
        <v>3485</v>
      </c>
      <c r="P1521" s="18" t="s">
        <v>3486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>
      <c r="A1522" s="16">
        <v>46153</v>
      </c>
      <c r="B1522" s="16">
        <v>46154</v>
      </c>
      <c r="C1522" s="21">
        <v>51521065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7761</v>
      </c>
      <c r="G1522" s="22">
        <v>5100</v>
      </c>
      <c r="H1522" s="22">
        <v>10122.25</v>
      </c>
      <c r="I1522" s="22">
        <f t="shared" si="24"/>
        <v>15222.25</v>
      </c>
      <c r="J1522" s="18" t="s">
        <v>1120</v>
      </c>
      <c r="K1522" s="18">
        <v>9859902</v>
      </c>
      <c r="L1522" s="18">
        <v>927513</v>
      </c>
      <c r="M1522" s="18" t="s">
        <v>3487</v>
      </c>
      <c r="N1522" s="16" t="s">
        <v>2678</v>
      </c>
      <c r="O1522" s="18" t="s">
        <v>3488</v>
      </c>
      <c r="P1522" s="18" t="s">
        <v>3428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>
      <c r="A1523" s="16">
        <v>46153</v>
      </c>
      <c r="B1523" s="16">
        <v>46153</v>
      </c>
      <c r="C1523" s="21">
        <v>51521066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7778</v>
      </c>
      <c r="G1523" s="22">
        <v>1120</v>
      </c>
      <c r="H1523" s="22"/>
      <c r="I1523" s="22">
        <f t="shared" si="24"/>
        <v>1120</v>
      </c>
      <c r="J1523" s="18" t="s">
        <v>1120</v>
      </c>
      <c r="K1523" s="18">
        <v>9859900</v>
      </c>
      <c r="L1523" s="18">
        <v>927455</v>
      </c>
      <c r="M1523" s="18" t="s">
        <v>3489</v>
      </c>
      <c r="N1523" s="16" t="s">
        <v>3039</v>
      </c>
      <c r="O1523" s="18" t="s">
        <v>3490</v>
      </c>
      <c r="P1523" s="18" t="s">
        <v>3386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>
      <c r="A1524" s="16">
        <v>46153</v>
      </c>
      <c r="B1524" s="16">
        <v>46153</v>
      </c>
      <c r="C1524" s="21">
        <v>85014034</v>
      </c>
      <c r="D1524" s="16" t="str">
        <f>IFERROR(VLOOKUP(Tabela5[[#This Row],[PREFIXO ]],Tabela4[#All],2,0),"CENTRO DE CUSTO")</f>
        <v>CENTRO DE CUSTO</v>
      </c>
      <c r="E1524" s="18" t="s">
        <v>71</v>
      </c>
      <c r="F1524" s="21">
        <v>7777</v>
      </c>
      <c r="G1524" s="22">
        <v>560</v>
      </c>
      <c r="H1524" s="22">
        <v>87.79</v>
      </c>
      <c r="I1524" s="22">
        <f t="shared" si="24"/>
        <v>647.79</v>
      </c>
      <c r="J1524" s="18" t="s">
        <v>1196</v>
      </c>
      <c r="K1524" s="18">
        <v>9859854</v>
      </c>
      <c r="L1524" s="18">
        <v>927455</v>
      </c>
      <c r="M1524" s="18" t="s">
        <v>3489</v>
      </c>
      <c r="N1524" s="16" t="s">
        <v>3039</v>
      </c>
      <c r="O1524" s="18" t="s">
        <v>3490</v>
      </c>
      <c r="P1524" s="18" t="s">
        <v>3386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>
      <c r="A1525" s="16">
        <v>46153</v>
      </c>
      <c r="B1525" s="16">
        <v>46155</v>
      </c>
      <c r="C1525" s="21">
        <v>500580579</v>
      </c>
      <c r="D1525" s="16" t="str">
        <f>IFERROR(VLOOKUP(Tabela5[[#This Row],[PREFIXO ]],Tabela4[#All],2,0),"CENTRO DE CUSTO")</f>
        <v>Pátio de Vendas</v>
      </c>
      <c r="E1525" s="18" t="s">
        <v>224</v>
      </c>
      <c r="F1525" s="21">
        <v>2668</v>
      </c>
      <c r="G1525" s="22">
        <v>4175</v>
      </c>
      <c r="H1525" s="22"/>
      <c r="I1525" s="22">
        <f t="shared" si="24"/>
        <v>4175</v>
      </c>
      <c r="J1525" s="18" t="s">
        <v>1120</v>
      </c>
      <c r="K1525" s="18">
        <v>5020762</v>
      </c>
      <c r="L1525" s="18" t="s">
        <v>3491</v>
      </c>
      <c r="M1525" s="18" t="s">
        <v>3492</v>
      </c>
      <c r="N1525" s="16">
        <v>46160</v>
      </c>
      <c r="O1525" s="18" t="s">
        <v>3493</v>
      </c>
      <c r="P1525" s="18" t="s">
        <v>3494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2669</v>
      </c>
      <c r="G1526" s="22">
        <v>2025</v>
      </c>
      <c r="H1526" s="22"/>
      <c r="I1526" s="22">
        <f t="shared" si="24"/>
        <v>2025</v>
      </c>
      <c r="J1526" s="18" t="s">
        <v>1196</v>
      </c>
      <c r="K1526" s="18">
        <v>5020774</v>
      </c>
      <c r="L1526" s="18" t="s">
        <v>3491</v>
      </c>
      <c r="M1526" s="18" t="s">
        <v>3492</v>
      </c>
      <c r="N1526" s="16">
        <v>46160</v>
      </c>
      <c r="O1526" s="18" t="s">
        <v>3493</v>
      </c>
      <c r="P1526" s="18" t="s">
        <v>3494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2595</v>
      </c>
      <c r="G1527" s="22">
        <v>1650</v>
      </c>
      <c r="H1527" s="22"/>
      <c r="I1527" s="22">
        <f t="shared" si="24"/>
        <v>1650</v>
      </c>
      <c r="J1527" s="18" t="s">
        <v>1120</v>
      </c>
      <c r="K1527" s="18">
        <v>5020761</v>
      </c>
      <c r="L1527" s="18" t="s">
        <v>3491</v>
      </c>
      <c r="M1527" s="18" t="s">
        <v>3492</v>
      </c>
      <c r="N1527" s="16">
        <v>46160</v>
      </c>
      <c r="O1527" s="18" t="s">
        <v>3493</v>
      </c>
      <c r="P1527" s="18" t="s">
        <v>3494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>
      <c r="A1528" s="16">
        <v>46153</v>
      </c>
      <c r="B1528" s="16">
        <v>46155</v>
      </c>
      <c r="C1528" s="21">
        <v>13150004</v>
      </c>
      <c r="D1528" s="16" t="str">
        <f>IFERROR(VLOOKUP(Tabela5[[#This Row],[PREFIXO ]],Tabela4[#All],2,0),"CENTRO DE CUSTO")</f>
        <v>ADUB AUTOPROP JACTO UNIPORT 8030NPK</v>
      </c>
      <c r="E1528" s="18" t="s">
        <v>363</v>
      </c>
      <c r="F1528" s="21" t="s">
        <v>3495</v>
      </c>
      <c r="G1528" s="22">
        <v>18000</v>
      </c>
      <c r="H1528" s="22"/>
      <c r="I1528" s="22">
        <f t="shared" si="24"/>
        <v>18000</v>
      </c>
      <c r="J1528" s="18" t="s">
        <v>1262</v>
      </c>
      <c r="K1528" s="18">
        <v>9860523</v>
      </c>
      <c r="L1528" s="18">
        <v>928379</v>
      </c>
      <c r="M1528" s="18" t="s">
        <v>3496</v>
      </c>
      <c r="N1528" s="16" t="s">
        <v>2538</v>
      </c>
      <c r="O1528" s="18" t="s">
        <v>2681</v>
      </c>
      <c r="P1528" s="18" t="s">
        <v>3419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>
      <c r="A1529" s="16">
        <v>46153</v>
      </c>
      <c r="B1529" s="16">
        <v>46153</v>
      </c>
      <c r="C1529" s="21">
        <v>500580100</v>
      </c>
      <c r="D1529" s="16" t="str">
        <f>IFERROR(VLOOKUP(Tabela5[[#This Row],[PREFIXO ]],Tabela4[#All],2,0),"CENTRO DE CUSTO")</f>
        <v>Autopropelidos</v>
      </c>
      <c r="E1529" s="18" t="s">
        <v>68</v>
      </c>
      <c r="F1529" s="21">
        <v>2268</v>
      </c>
      <c r="G1529" s="22">
        <v>1520</v>
      </c>
      <c r="H1529" s="22">
        <v>1502.23</v>
      </c>
      <c r="I1529" s="22">
        <f t="shared" si="24"/>
        <v>3022.23</v>
      </c>
      <c r="J1529" s="18" t="s">
        <v>1196</v>
      </c>
      <c r="K1529" s="18">
        <v>5020713</v>
      </c>
      <c r="L1529" s="18">
        <v>927391</v>
      </c>
      <c r="M1529" s="18" t="s">
        <v>3497</v>
      </c>
      <c r="N1529" s="16" t="s">
        <v>3039</v>
      </c>
      <c r="O1529" s="18" t="s">
        <v>3498</v>
      </c>
      <c r="P1529" s="18" t="s">
        <v>3499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>
      <c r="A1530" s="16">
        <v>46153</v>
      </c>
      <c r="B1530" s="16">
        <v>46153</v>
      </c>
      <c r="C1530" s="21">
        <v>16170048</v>
      </c>
      <c r="D1530" s="16" t="str">
        <f>IFERROR(VLOOKUP(Tabela5[[#This Row],[PREFIXO ]],Tabela4[#All],2,0),"CENTRO DE CUSTO")</f>
        <v>CENTRO DE CUSTO</v>
      </c>
      <c r="E1530" s="18" t="s">
        <v>68</v>
      </c>
      <c r="F1530" s="21">
        <v>2275</v>
      </c>
      <c r="G1530" s="22">
        <v>900</v>
      </c>
      <c r="H1530" s="22"/>
      <c r="I1530" s="22">
        <f t="shared" si="24"/>
        <v>900</v>
      </c>
      <c r="J1530" s="18" t="s">
        <v>1082</v>
      </c>
      <c r="K1530" s="18">
        <v>9859913</v>
      </c>
      <c r="L1530" s="18">
        <v>927391</v>
      </c>
      <c r="M1530" s="18" t="s">
        <v>3497</v>
      </c>
      <c r="N1530" s="16" t="s">
        <v>3039</v>
      </c>
      <c r="O1530" s="18" t="s">
        <v>3498</v>
      </c>
      <c r="P1530" s="18" t="s">
        <v>3499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>
      <c r="A1531" s="16">
        <v>46153</v>
      </c>
      <c r="B1531" s="16">
        <v>46154</v>
      </c>
      <c r="C1531" s="21">
        <v>61521083</v>
      </c>
      <c r="D1531" s="16" t="str">
        <f>IFERROR(VLOOKUP(Tabela5[[#This Row],[PREFIXO ]],Tabela4[#All],2,0),"CENTRO DE CUSTO")</f>
        <v>CAM COMBOIO VOLVO VM 330</v>
      </c>
      <c r="E1531" s="18" t="s">
        <v>247</v>
      </c>
      <c r="F1531" s="21">
        <v>135718</v>
      </c>
      <c r="G1531" s="22">
        <v>2175.5</v>
      </c>
      <c r="H1531" s="22">
        <v>997.68</v>
      </c>
      <c r="I1531" s="22">
        <f t="shared" si="24"/>
        <v>3173.18</v>
      </c>
      <c r="J1531" s="18" t="s">
        <v>1082</v>
      </c>
      <c r="K1531" s="18" t="s">
        <v>3500</v>
      </c>
      <c r="L1531" s="18">
        <v>928149</v>
      </c>
      <c r="M1531" s="18" t="s">
        <v>3501</v>
      </c>
      <c r="N1531" s="16" t="s">
        <v>2538</v>
      </c>
      <c r="O1531" s="18" t="s">
        <v>3502</v>
      </c>
      <c r="P1531" s="18" t="s">
        <v>3411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>
      <c r="A1532" s="16">
        <v>46153</v>
      </c>
      <c r="B1532" s="16">
        <v>46154</v>
      </c>
      <c r="C1532" s="21">
        <v>61521011</v>
      </c>
      <c r="D1532" s="16" t="str">
        <f>IFERROR(VLOOKUP(Tabela5[[#This Row],[PREFIXO ]],Tabela4[#All],2,0),"CENTRO DE CUSTO")</f>
        <v>CAM COMBOIO MERC BENZ ATRON 2729</v>
      </c>
      <c r="E1532" s="18" t="s">
        <v>247</v>
      </c>
      <c r="F1532" s="21">
        <v>135717</v>
      </c>
      <c r="G1532" s="22">
        <v>1311</v>
      </c>
      <c r="H1532" s="22">
        <v>727.61</v>
      </c>
      <c r="I1532" s="22">
        <f t="shared" si="24"/>
        <v>2038.6100000000001</v>
      </c>
      <c r="J1532" s="18" t="s">
        <v>1082</v>
      </c>
      <c r="K1532" s="18" t="s">
        <v>3503</v>
      </c>
      <c r="L1532" s="18">
        <v>928237</v>
      </c>
      <c r="M1532" s="18" t="s">
        <v>3504</v>
      </c>
      <c r="N1532" s="16" t="s">
        <v>2538</v>
      </c>
      <c r="O1532" s="18" t="s">
        <v>3505</v>
      </c>
      <c r="P1532" s="18" t="s">
        <v>3474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>
      <c r="A1533" s="16">
        <v>46153</v>
      </c>
      <c r="B1533" s="16">
        <v>46154</v>
      </c>
      <c r="C1533" s="21">
        <v>61521030</v>
      </c>
      <c r="D1533" s="16" t="str">
        <f>IFERROR(VLOOKUP(Tabela5[[#This Row],[PREFIXO ]],Tabela4[#All],2,0),"CENTRO DE CUSTO")</f>
        <v>CAV MEC PES MERC BENZ ACTRO 2651</v>
      </c>
      <c r="E1533" s="18" t="s">
        <v>247</v>
      </c>
      <c r="F1533" s="21">
        <v>135834</v>
      </c>
      <c r="G1533" s="22">
        <v>950</v>
      </c>
      <c r="H1533" s="22">
        <v>672.34</v>
      </c>
      <c r="I1533" s="22">
        <f t="shared" si="24"/>
        <v>1622.3400000000001</v>
      </c>
      <c r="J1533" s="18" t="s">
        <v>1082</v>
      </c>
      <c r="K1533" s="18">
        <v>98961800</v>
      </c>
      <c r="L1533" s="18">
        <v>928114</v>
      </c>
      <c r="M1533" s="18" t="s">
        <v>3506</v>
      </c>
      <c r="N1533" s="16" t="s">
        <v>2538</v>
      </c>
      <c r="O1533" s="18" t="s">
        <v>3507</v>
      </c>
      <c r="P1533" s="18" t="s">
        <v>3404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>
      <c r="A1534" s="16">
        <v>46153</v>
      </c>
      <c r="B1534" s="16">
        <v>46153</v>
      </c>
      <c r="C1534" s="21">
        <v>51521064</v>
      </c>
      <c r="D1534" s="16" t="str">
        <f>IFERROR(VLOOKUP(Tabela5[[#This Row],[PREFIXO ]],Tabela4[#All],2,0),"CENTRO DE CUSTO")</f>
        <v>COLHED ALGODÃO JOHN DEERE CP 690</v>
      </c>
      <c r="E1534" s="18" t="s">
        <v>255</v>
      </c>
      <c r="F1534" s="21">
        <v>963</v>
      </c>
      <c r="G1534" s="22">
        <v>1600</v>
      </c>
      <c r="H1534" s="22"/>
      <c r="I1534" s="22">
        <f t="shared" si="24"/>
        <v>1600</v>
      </c>
      <c r="J1534" s="18" t="s">
        <v>1120</v>
      </c>
      <c r="K1534" s="18">
        <v>9859546</v>
      </c>
      <c r="L1534" s="18">
        <v>926851</v>
      </c>
      <c r="M1534" s="18" t="s">
        <v>3508</v>
      </c>
      <c r="N1534" s="16" t="s">
        <v>3022</v>
      </c>
      <c r="O1534" s="18" t="s">
        <v>1860</v>
      </c>
      <c r="P1534" s="18" t="s">
        <v>2538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>
      <c r="A1535" s="16">
        <v>46153</v>
      </c>
      <c r="B1535" s="16">
        <v>46153</v>
      </c>
      <c r="C1535" s="21">
        <v>51519062</v>
      </c>
      <c r="D1535" s="16" t="str">
        <f>IFERROR(VLOOKUP(Tabela5[[#This Row],[PREFIXO ]],Tabela4[#All],2,0),"CENTRO DE CUSTO")</f>
        <v>CENTRO DE CUSTO</v>
      </c>
      <c r="E1535" s="18" t="s">
        <v>255</v>
      </c>
      <c r="F1535" s="21">
        <v>958</v>
      </c>
      <c r="G1535" s="22">
        <v>1600</v>
      </c>
      <c r="H1535" s="22"/>
      <c r="I1535" s="22">
        <f t="shared" si="24"/>
        <v>1600</v>
      </c>
      <c r="J1535" s="18" t="s">
        <v>1120</v>
      </c>
      <c r="K1535" s="18">
        <v>9859540</v>
      </c>
      <c r="L1535" s="18">
        <v>926851</v>
      </c>
      <c r="M1535" s="18" t="s">
        <v>3508</v>
      </c>
      <c r="N1535" s="16" t="s">
        <v>3022</v>
      </c>
      <c r="O1535" s="18" t="s">
        <v>1860</v>
      </c>
      <c r="P1535" s="18" t="s">
        <v>2538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>
      <c r="A1536" s="16">
        <v>46153</v>
      </c>
      <c r="B1536" s="16">
        <v>46153</v>
      </c>
      <c r="C1536" s="21">
        <v>51521065</v>
      </c>
      <c r="D1536" s="16" t="str">
        <f>IFERROR(VLOOKUP(Tabela5[[#This Row],[PREFIXO ]],Tabela4[#All],2,0),"CENTRO DE CUSTO")</f>
        <v>COLHED ALGODÃO JOHN DEERE CP 690</v>
      </c>
      <c r="E1536" s="18" t="s">
        <v>255</v>
      </c>
      <c r="F1536" s="21">
        <v>962</v>
      </c>
      <c r="G1536" s="22">
        <v>1550</v>
      </c>
      <c r="H1536" s="22"/>
      <c r="I1536" s="22">
        <f t="shared" ref="I1536:I1599" si="25">G1536+H1536</f>
        <v>1550</v>
      </c>
      <c r="J1536" s="18" t="s">
        <v>1120</v>
      </c>
      <c r="K1536" s="18">
        <v>9859549</v>
      </c>
      <c r="L1536" s="18">
        <v>926851</v>
      </c>
      <c r="M1536" s="18" t="s">
        <v>3508</v>
      </c>
      <c r="N1536" s="16" t="s">
        <v>3022</v>
      </c>
      <c r="O1536" s="18" t="s">
        <v>1860</v>
      </c>
      <c r="P1536" s="18" t="s">
        <v>2538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>
      <c r="A1537" s="16">
        <v>46153</v>
      </c>
      <c r="B1537" s="16">
        <v>46153</v>
      </c>
      <c r="C1537" s="21">
        <v>51519060</v>
      </c>
      <c r="D1537" s="16" t="str">
        <f>IFERROR(VLOOKUP(Tabela5[[#This Row],[PREFIXO ]],Tabela4[#All],2,0),"CENTRO DE CUSTO")</f>
        <v>CENTRO DE CUSTO</v>
      </c>
      <c r="E1537" s="18" t="s">
        <v>255</v>
      </c>
      <c r="F1537" s="21">
        <v>959</v>
      </c>
      <c r="G1537" s="22">
        <v>1550</v>
      </c>
      <c r="H1537" s="22"/>
      <c r="I1537" s="22">
        <f t="shared" si="25"/>
        <v>1550</v>
      </c>
      <c r="J1537" s="18" t="s">
        <v>1120</v>
      </c>
      <c r="K1537" s="18">
        <v>9859516</v>
      </c>
      <c r="L1537" s="18">
        <v>926851</v>
      </c>
      <c r="M1537" s="18" t="s">
        <v>3508</v>
      </c>
      <c r="N1537" s="16" t="s">
        <v>3022</v>
      </c>
      <c r="O1537" s="18" t="s">
        <v>1860</v>
      </c>
      <c r="P1537" s="18" t="s">
        <v>2538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>
      <c r="A1538" s="16">
        <v>46153</v>
      </c>
      <c r="B1538" s="16">
        <v>46153</v>
      </c>
      <c r="C1538" s="21" t="s">
        <v>3509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960</v>
      </c>
      <c r="G1538" s="22">
        <v>1350</v>
      </c>
      <c r="H1538" s="22"/>
      <c r="I1538" s="22">
        <f t="shared" si="25"/>
        <v>1350</v>
      </c>
      <c r="J1538" s="18" t="s">
        <v>1120</v>
      </c>
      <c r="K1538" s="18" t="s">
        <v>3510</v>
      </c>
      <c r="L1538" s="18">
        <v>926851</v>
      </c>
      <c r="M1538" s="18" t="s">
        <v>3508</v>
      </c>
      <c r="N1538" s="16" t="s">
        <v>3022</v>
      </c>
      <c r="O1538" s="18" t="s">
        <v>1860</v>
      </c>
      <c r="P1538" s="18" t="s">
        <v>2538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>
      <c r="A1539" s="16">
        <v>46153</v>
      </c>
      <c r="B1539" s="16">
        <v>46153</v>
      </c>
      <c r="C1539" s="21" t="s">
        <v>3511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964</v>
      </c>
      <c r="G1539" s="22">
        <v>1350</v>
      </c>
      <c r="H1539" s="22"/>
      <c r="I1539" s="22">
        <f t="shared" si="25"/>
        <v>1350</v>
      </c>
      <c r="J1539" s="18" t="s">
        <v>1120</v>
      </c>
      <c r="K1539" s="18" t="s">
        <v>3512</v>
      </c>
      <c r="L1539" s="18">
        <v>926851</v>
      </c>
      <c r="M1539" s="18" t="s">
        <v>3508</v>
      </c>
      <c r="N1539" s="16" t="s">
        <v>3022</v>
      </c>
      <c r="O1539" s="18" t="s">
        <v>1860</v>
      </c>
      <c r="P1539" s="18" t="s">
        <v>2538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>
      <c r="A1540" s="16">
        <v>46153</v>
      </c>
      <c r="B1540" s="16">
        <v>46153</v>
      </c>
      <c r="C1540" s="21">
        <v>500580325</v>
      </c>
      <c r="D1540" s="16" t="str">
        <f>IFERROR(VLOOKUP(Tabela5[[#This Row],[PREFIXO ]],Tabela4[#All],2,0),"CENTRO DE CUSTO")</f>
        <v>Colheitad. Alg Auto</v>
      </c>
      <c r="E1540" s="18" t="s">
        <v>255</v>
      </c>
      <c r="F1540" s="21">
        <v>961</v>
      </c>
      <c r="G1540" s="22">
        <v>1300</v>
      </c>
      <c r="H1540" s="22"/>
      <c r="I1540" s="22">
        <f t="shared" si="25"/>
        <v>1300</v>
      </c>
      <c r="J1540" s="18" t="s">
        <v>1120</v>
      </c>
      <c r="K1540" s="18">
        <v>5020712</v>
      </c>
      <c r="L1540" s="18">
        <v>926851</v>
      </c>
      <c r="M1540" s="18" t="s">
        <v>3508</v>
      </c>
      <c r="N1540" s="16" t="s">
        <v>3022</v>
      </c>
      <c r="O1540" s="18" t="s">
        <v>1860</v>
      </c>
      <c r="P1540" s="18" t="s">
        <v>2538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>
      <c r="A1541" s="16">
        <v>46153</v>
      </c>
      <c r="B1541" s="16">
        <v>46153</v>
      </c>
      <c r="C1541" s="21" t="s">
        <v>3513</v>
      </c>
      <c r="D1541" s="16" t="str">
        <f>IFERROR(VLOOKUP(Tabela5[[#This Row],[PREFIXO ]],Tabela4[#All],2,0),"CENTRO DE CUSTO")</f>
        <v>CENTRO DE CUSTO</v>
      </c>
      <c r="E1541" s="18" t="s">
        <v>255</v>
      </c>
      <c r="F1541" s="21">
        <v>965</v>
      </c>
      <c r="G1541" s="22">
        <v>600</v>
      </c>
      <c r="H1541" s="22"/>
      <c r="I1541" s="22">
        <f t="shared" si="25"/>
        <v>600</v>
      </c>
      <c r="J1541" s="18" t="s">
        <v>1077</v>
      </c>
      <c r="K1541" s="18" t="s">
        <v>3514</v>
      </c>
      <c r="L1541" s="18">
        <v>926851</v>
      </c>
      <c r="M1541" s="18" t="s">
        <v>3508</v>
      </c>
      <c r="N1541" s="16" t="s">
        <v>3022</v>
      </c>
      <c r="O1541" s="18" t="s">
        <v>1860</v>
      </c>
      <c r="P1541" s="18" t="s">
        <v>2538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>
      <c r="A1542" s="16">
        <v>46155</v>
      </c>
      <c r="B1542" s="16">
        <v>46156</v>
      </c>
      <c r="C1542" s="21">
        <v>11040015</v>
      </c>
      <c r="D1542" s="16" t="str">
        <f>IFERROR(VLOOKUP(Tabela5[[#This Row],[PREFIXO ]],Tabela4[#All],2,0),"CENTRO DE CUSTO")</f>
        <v>CAV MEC EXT PES SCANIA R500</v>
      </c>
      <c r="E1542" s="18" t="s">
        <v>366</v>
      </c>
      <c r="F1542" s="21">
        <v>196041</v>
      </c>
      <c r="G1542" s="22">
        <v>340</v>
      </c>
      <c r="H1542" s="22">
        <v>136</v>
      </c>
      <c r="I1542" s="22">
        <f t="shared" si="25"/>
        <v>476</v>
      </c>
      <c r="J1542" s="18" t="s">
        <v>1082</v>
      </c>
      <c r="K1542" s="18">
        <v>9861643</v>
      </c>
      <c r="L1542" s="18">
        <v>928869</v>
      </c>
      <c r="M1542" s="18" t="s">
        <v>3515</v>
      </c>
      <c r="N1542" s="16" t="s">
        <v>3404</v>
      </c>
      <c r="O1542" s="18"/>
      <c r="P1542" s="18"/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FALTA NF</v>
      </c>
      <c r="R1542" s="36"/>
    </row>
    <row r="1543" spans="1:18">
      <c r="A1543" s="16">
        <v>46155</v>
      </c>
      <c r="B1543" s="16">
        <v>46156</v>
      </c>
      <c r="C1543" s="21">
        <v>51519058</v>
      </c>
      <c r="D1543" s="16" t="str">
        <f>IFERROR(VLOOKUP(Tabela5[[#This Row],[PREFIXO ]],Tabela4[#All],2,0),"CENTRO DE CUSTO")</f>
        <v>CENTRO DE CUSTO</v>
      </c>
      <c r="E1543" s="18" t="s">
        <v>17</v>
      </c>
      <c r="F1543" s="21">
        <v>44345</v>
      </c>
      <c r="G1543" s="22">
        <v>2209.37</v>
      </c>
      <c r="H1543" s="22"/>
      <c r="I1543" s="22">
        <f t="shared" si="25"/>
        <v>2209.37</v>
      </c>
      <c r="J1543" s="18" t="s">
        <v>1120</v>
      </c>
      <c r="K1543" s="18">
        <v>9863174</v>
      </c>
      <c r="L1543" s="18">
        <v>929963</v>
      </c>
      <c r="M1543" s="18" t="s">
        <v>3516</v>
      </c>
      <c r="N1543" s="16" t="s">
        <v>3517</v>
      </c>
      <c r="O1543" s="18" t="s">
        <v>3518</v>
      </c>
      <c r="P1543" s="18" t="s">
        <v>3389</v>
      </c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CONCLUÍDO</v>
      </c>
      <c r="R1543" s="36"/>
    </row>
    <row r="1544" spans="1:18">
      <c r="A1544" s="16">
        <v>46155</v>
      </c>
      <c r="B1544" s="16">
        <v>46156</v>
      </c>
      <c r="C1544" s="21">
        <v>51519060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44302</v>
      </c>
      <c r="G1544" s="22">
        <v>1740</v>
      </c>
      <c r="H1544" s="22"/>
      <c r="I1544" s="22">
        <f t="shared" si="25"/>
        <v>1740</v>
      </c>
      <c r="J1544" s="18" t="s">
        <v>1120</v>
      </c>
      <c r="K1544" s="18">
        <v>9863176</v>
      </c>
      <c r="L1544" s="18">
        <v>929963</v>
      </c>
      <c r="M1544" s="18" t="s">
        <v>3516</v>
      </c>
      <c r="N1544" s="16" t="s">
        <v>3517</v>
      </c>
      <c r="O1544" s="18" t="s">
        <v>3518</v>
      </c>
      <c r="P1544" s="18" t="s">
        <v>3389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>
      <c r="A1545" s="16">
        <v>46155</v>
      </c>
      <c r="B1545" s="16">
        <v>46175</v>
      </c>
      <c r="C1545" s="21">
        <v>16170054</v>
      </c>
      <c r="D1545" s="16" t="str">
        <f>IFERROR(VLOOKUP(Tabela5[[#This Row],[PREFIXO ]],Tabela4[#All],2,0),"CENTRO DE CUSTO")</f>
        <v>SR TANQUE RANDON SR TQ TL</v>
      </c>
      <c r="E1545" s="18" t="s">
        <v>29</v>
      </c>
      <c r="F1545" s="21">
        <v>55612</v>
      </c>
      <c r="G1545" s="22">
        <v>5294</v>
      </c>
      <c r="H1545" s="22">
        <v>11426.68</v>
      </c>
      <c r="I1545" s="22">
        <f t="shared" si="25"/>
        <v>16720.68</v>
      </c>
      <c r="J1545" s="18" t="s">
        <v>1082</v>
      </c>
      <c r="K1545" s="18">
        <v>9862053</v>
      </c>
      <c r="L1545" s="18" t="s">
        <v>3519</v>
      </c>
      <c r="M1545" s="18" t="s">
        <v>3520</v>
      </c>
      <c r="N1545" s="16" t="s">
        <v>3521</v>
      </c>
      <c r="O1545" s="18" t="s">
        <v>3522</v>
      </c>
      <c r="P1545" s="18" t="s">
        <v>3523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 t="s">
        <v>3297</v>
      </c>
    </row>
    <row r="1546" spans="1:18">
      <c r="A1546" s="16">
        <v>46156</v>
      </c>
      <c r="B1546" s="16">
        <v>46157</v>
      </c>
      <c r="C1546" s="21">
        <v>41521066</v>
      </c>
      <c r="D1546" s="16" t="str">
        <f>IFERROR(VLOOKUP(Tabela5[[#This Row],[PREFIXO ]],Tabela4[#All],2,0),"CENTRO DE CUSTO")</f>
        <v>MICROONIBUS SPRINTER 417 CDI K42B</v>
      </c>
      <c r="E1546" s="18" t="s">
        <v>209</v>
      </c>
      <c r="F1546" s="21">
        <v>115414</v>
      </c>
      <c r="G1546" s="22">
        <v>560</v>
      </c>
      <c r="H1546" s="22"/>
      <c r="I1546" s="22">
        <f t="shared" si="25"/>
        <v>560</v>
      </c>
      <c r="J1546" s="18" t="s">
        <v>1082</v>
      </c>
      <c r="K1546" s="18">
        <v>9863376</v>
      </c>
      <c r="L1546" s="18">
        <v>930575</v>
      </c>
      <c r="M1546" s="18" t="s">
        <v>3524</v>
      </c>
      <c r="N1546" s="16" t="s">
        <v>3517</v>
      </c>
      <c r="O1546" s="18"/>
      <c r="P1546" s="18"/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FALTA NF</v>
      </c>
      <c r="R1546" s="36"/>
    </row>
    <row r="1547" spans="1:18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1082</v>
      </c>
      <c r="K1547" s="18">
        <v>9862025</v>
      </c>
      <c r="L1547" s="18" t="s">
        <v>3525</v>
      </c>
      <c r="M1547" s="18" t="s">
        <v>3526</v>
      </c>
      <c r="N1547" s="16" t="s">
        <v>3521</v>
      </c>
      <c r="O1547" s="18" t="s">
        <v>3527</v>
      </c>
      <c r="P1547" s="18" t="s">
        <v>3140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3297</v>
      </c>
    </row>
    <row r="1548" spans="1:18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1082</v>
      </c>
      <c r="K1548" s="18">
        <v>9862028</v>
      </c>
      <c r="L1548" s="18" t="s">
        <v>3528</v>
      </c>
      <c r="M1548" s="18" t="s">
        <v>3529</v>
      </c>
      <c r="N1548" s="16" t="s">
        <v>3521</v>
      </c>
      <c r="O1548" s="18" t="s">
        <v>3530</v>
      </c>
      <c r="P1548" s="18" t="s">
        <v>3523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3297</v>
      </c>
    </row>
    <row r="1549" spans="1:18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1082</v>
      </c>
      <c r="K1549" s="18">
        <v>9861986</v>
      </c>
      <c r="L1549" s="18">
        <v>935159</v>
      </c>
      <c r="M1549" s="18" t="s">
        <v>3531</v>
      </c>
      <c r="N1549" s="16" t="s">
        <v>3436</v>
      </c>
      <c r="O1549" s="18" t="s">
        <v>3532</v>
      </c>
      <c r="P1549" s="18" t="s">
        <v>3533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3297</v>
      </c>
    </row>
    <row r="1550" spans="1:18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1082</v>
      </c>
      <c r="K1550" s="18">
        <v>9861956</v>
      </c>
      <c r="L1550" s="18">
        <v>935149</v>
      </c>
      <c r="M1550" s="18" t="s">
        <v>3534</v>
      </c>
      <c r="N1550" s="16" t="s">
        <v>3436</v>
      </c>
      <c r="O1550" s="18" t="s">
        <v>3535</v>
      </c>
      <c r="P1550" s="18" t="s">
        <v>3536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3297</v>
      </c>
    </row>
    <row r="1551" spans="1:18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1082</v>
      </c>
      <c r="K1551" s="18">
        <v>9862038</v>
      </c>
      <c r="L1551" s="18" t="s">
        <v>3537</v>
      </c>
      <c r="M1551" s="18" t="s">
        <v>3538</v>
      </c>
      <c r="N1551" s="16" t="s">
        <v>3419</v>
      </c>
      <c r="O1551" s="18" t="s">
        <v>3539</v>
      </c>
      <c r="P1551" s="18" t="s">
        <v>3523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3297</v>
      </c>
    </row>
    <row r="1552" spans="1:18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1082</v>
      </c>
      <c r="K1552" s="18">
        <v>9862101</v>
      </c>
      <c r="L1552" s="18" t="s">
        <v>3540</v>
      </c>
      <c r="M1552" s="18" t="s">
        <v>3541</v>
      </c>
      <c r="N1552" s="16" t="s">
        <v>3436</v>
      </c>
      <c r="O1552" s="18" t="s">
        <v>3542</v>
      </c>
      <c r="P1552" s="18" t="s">
        <v>3536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3297</v>
      </c>
    </row>
    <row r="1553" spans="1:18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1082</v>
      </c>
      <c r="K1553" s="18">
        <v>9862039</v>
      </c>
      <c r="L1553" s="18">
        <v>930742</v>
      </c>
      <c r="M1553" s="18" t="s">
        <v>3543</v>
      </c>
      <c r="N1553" s="16" t="s">
        <v>3436</v>
      </c>
      <c r="O1553" s="18" t="s">
        <v>3544</v>
      </c>
      <c r="P1553" s="18" t="s">
        <v>3536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3297</v>
      </c>
    </row>
    <row r="1554" spans="1:18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1082</v>
      </c>
      <c r="K1554" s="18">
        <v>9862020</v>
      </c>
      <c r="L1554" s="18">
        <v>934359</v>
      </c>
      <c r="M1554" s="18" t="s">
        <v>3545</v>
      </c>
      <c r="N1554" s="16" t="s">
        <v>3436</v>
      </c>
      <c r="O1554" s="18" t="s">
        <v>3546</v>
      </c>
      <c r="P1554" s="18" t="s">
        <v>3547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3297</v>
      </c>
    </row>
    <row r="1555" spans="1:18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1196</v>
      </c>
      <c r="K1555" s="18">
        <v>5020780</v>
      </c>
      <c r="L1555" s="18">
        <v>929446</v>
      </c>
      <c r="M1555" s="18" t="s">
        <v>3548</v>
      </c>
      <c r="N1555" s="16" t="s">
        <v>3549</v>
      </c>
      <c r="O1555" s="18" t="s">
        <v>3550</v>
      </c>
      <c r="P1555" s="18" t="s">
        <v>3419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3297</v>
      </c>
    </row>
    <row r="1556" spans="1:18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1196</v>
      </c>
      <c r="K1556" s="18">
        <v>5020781</v>
      </c>
      <c r="L1556" s="18">
        <v>929446</v>
      </c>
      <c r="M1556" s="18" t="s">
        <v>3551</v>
      </c>
      <c r="N1556" s="16" t="s">
        <v>3549</v>
      </c>
      <c r="O1556" s="18" t="s">
        <v>3552</v>
      </c>
      <c r="P1556" s="18" t="s">
        <v>3419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3297</v>
      </c>
    </row>
    <row r="1557" spans="1:18">
      <c r="A1557" s="16">
        <v>46204</v>
      </c>
      <c r="B1557" s="16">
        <v>46206</v>
      </c>
      <c r="C1557" s="21">
        <v>11521001</v>
      </c>
      <c r="D1557" s="16" t="str">
        <f>IFERROR(VLOOKUP(Tabela5[[#This Row],[PREFIXO ]],Tabela4[#All],2,0),"CENTRO DE CUSTO")</f>
        <v>TRAT PN EXT PES CASE STEIGER 620</v>
      </c>
      <c r="E1557" s="18" t="s">
        <v>312</v>
      </c>
      <c r="F1557" s="21" t="s">
        <v>2873</v>
      </c>
      <c r="G1557" s="22">
        <v>1176</v>
      </c>
      <c r="H1557" s="22"/>
      <c r="I1557" s="22">
        <f t="shared" si="25"/>
        <v>1176</v>
      </c>
      <c r="J1557" s="18" t="s">
        <v>1196</v>
      </c>
      <c r="K1557" s="18" t="s">
        <v>3553</v>
      </c>
      <c r="L1557" s="18" t="s">
        <v>3554</v>
      </c>
      <c r="M1557" s="18" t="s">
        <v>3555</v>
      </c>
      <c r="N1557" s="16">
        <v>46206</v>
      </c>
      <c r="O1557" s="18" t="s">
        <v>3047</v>
      </c>
      <c r="P1557" s="18" t="s">
        <v>3556</v>
      </c>
      <c r="Q1557" s="16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>
      <c r="A1558" s="16">
        <v>46155</v>
      </c>
      <c r="B1558" s="16">
        <v>46156</v>
      </c>
      <c r="C1558" s="21">
        <v>41521072</v>
      </c>
      <c r="D1558" s="16" t="str">
        <f>IFERROR(VLOOKUP(Tabela5[[#This Row],[PREFIXO ]],Tabela4[#All],2,0),"CENTRO DE CUSTO")</f>
        <v>CAMINHONETE TOYOTA HILUX CDCQ A4PD</v>
      </c>
      <c r="E1558" s="18" t="s">
        <v>328</v>
      </c>
      <c r="F1558" s="21">
        <v>7615</v>
      </c>
      <c r="G1558" s="22">
        <v>20</v>
      </c>
      <c r="H1558" s="22">
        <v>270</v>
      </c>
      <c r="I1558" s="22">
        <f t="shared" si="25"/>
        <v>290</v>
      </c>
      <c r="J1558" s="18" t="s">
        <v>1082</v>
      </c>
      <c r="K1558" s="18">
        <v>9861470</v>
      </c>
      <c r="L1558" s="18">
        <v>929589</v>
      </c>
      <c r="M1558" s="18" t="s">
        <v>3557</v>
      </c>
      <c r="N1558" s="16" t="s">
        <v>3404</v>
      </c>
      <c r="O1558" s="18" t="s">
        <v>3558</v>
      </c>
      <c r="P1558" s="18" t="s">
        <v>3296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>
      <c r="A1559" s="16">
        <v>46155</v>
      </c>
      <c r="B1559" s="16">
        <v>46156</v>
      </c>
      <c r="C1559" s="21">
        <v>41521070</v>
      </c>
      <c r="D1559" s="16" t="str">
        <f>IFERROR(VLOOKUP(Tabela5[[#This Row],[PREFIXO ]],Tabela4[#All],2,0),"CENTRO DE CUSTO")</f>
        <v>MICROONIBUS SPRINTER 417 CDI K42B</v>
      </c>
      <c r="E1559" s="18" t="s">
        <v>110</v>
      </c>
      <c r="F1559" s="21">
        <v>34185</v>
      </c>
      <c r="G1559" s="22">
        <v>2620.8000000000002</v>
      </c>
      <c r="H1559" s="22">
        <v>8371.82</v>
      </c>
      <c r="I1559" s="22">
        <f t="shared" si="25"/>
        <v>10992.619999999999</v>
      </c>
      <c r="J1559" s="18" t="s">
        <v>1082</v>
      </c>
      <c r="K1559" s="18">
        <v>9861191</v>
      </c>
      <c r="L1559" s="18">
        <v>929687</v>
      </c>
      <c r="M1559" s="18" t="s">
        <v>3559</v>
      </c>
      <c r="N1559" s="16" t="s">
        <v>3517</v>
      </c>
      <c r="O1559" s="18" t="s">
        <v>3560</v>
      </c>
      <c r="P1559" s="18" t="s">
        <v>3561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>
      <c r="A1560" s="16">
        <v>46155</v>
      </c>
      <c r="B1560" s="16">
        <v>46156</v>
      </c>
      <c r="C1560" s="21">
        <v>23220004</v>
      </c>
      <c r="D1560" s="16" t="str">
        <f>IFERROR(VLOOKUP(Tabela5[[#This Row],[PREFIXO ]],Tabela4[#All],2,0),"CENTRO DE CUSTO")</f>
        <v>COLHED ALGODÃO JOHN DEERE CP 770</v>
      </c>
      <c r="E1560" s="18" t="s">
        <v>162</v>
      </c>
      <c r="F1560" s="21">
        <v>13183</v>
      </c>
      <c r="G1560" s="22">
        <v>4700</v>
      </c>
      <c r="H1560" s="22">
        <v>7422.38</v>
      </c>
      <c r="I1560" s="22">
        <f t="shared" si="25"/>
        <v>12122.380000000001</v>
      </c>
      <c r="J1560" s="18" t="s">
        <v>1120</v>
      </c>
      <c r="K1560" s="18">
        <v>9863341</v>
      </c>
      <c r="L1560" s="18">
        <v>930005</v>
      </c>
      <c r="M1560" s="18" t="s">
        <v>3562</v>
      </c>
      <c r="N1560" s="16" t="s">
        <v>2678</v>
      </c>
      <c r="O1560" s="18" t="s">
        <v>3563</v>
      </c>
      <c r="P1560" s="18" t="s">
        <v>3564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>
      <c r="A1561" s="16">
        <v>46155</v>
      </c>
      <c r="B1561" s="16">
        <v>46156</v>
      </c>
      <c r="C1561" s="21">
        <v>61521101</v>
      </c>
      <c r="D1561" s="16" t="str">
        <f>IFERROR(VLOOKUP(Tabela5[[#This Row],[PREFIXO ]],Tabela4[#All],2,0),"CENTRO DE CUSTO")</f>
        <v>CAM ROLL ON/OFF VOLVO VM 330</v>
      </c>
      <c r="E1561" s="18" t="s">
        <v>250</v>
      </c>
      <c r="F1561" s="21">
        <v>40619</v>
      </c>
      <c r="G1561" s="22">
        <v>438.2</v>
      </c>
      <c r="H1561" s="22">
        <v>1275</v>
      </c>
      <c r="I1561" s="22">
        <f t="shared" si="25"/>
        <v>1713.2</v>
      </c>
      <c r="J1561" s="18" t="s">
        <v>1082</v>
      </c>
      <c r="K1561" s="18">
        <v>9861430</v>
      </c>
      <c r="L1561" s="18">
        <v>929648</v>
      </c>
      <c r="M1561" s="18" t="s">
        <v>3565</v>
      </c>
      <c r="N1561" s="16" t="s">
        <v>3404</v>
      </c>
      <c r="O1561" s="18" t="s">
        <v>3566</v>
      </c>
      <c r="P1561" s="18" t="s">
        <v>3411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>
      <c r="A1562" s="16">
        <v>46156</v>
      </c>
      <c r="B1562" s="16">
        <v>46160</v>
      </c>
      <c r="C1562" s="21">
        <v>500580325</v>
      </c>
      <c r="D1562" s="16" t="str">
        <f>IFERROR(VLOOKUP(Tabela5[[#This Row],[PREFIXO ]],Tabela4[#All],2,0),"CENTRO DE CUSTO")</f>
        <v>Colheitad. Alg Auto</v>
      </c>
      <c r="E1562" s="18" t="s">
        <v>293</v>
      </c>
      <c r="F1562" s="21">
        <v>59</v>
      </c>
      <c r="G1562" s="22">
        <v>39552</v>
      </c>
      <c r="H1562" s="22"/>
      <c r="I1562" s="22">
        <f t="shared" si="25"/>
        <v>39552</v>
      </c>
      <c r="J1562" s="18" t="s">
        <v>1120</v>
      </c>
      <c r="K1562" s="18">
        <v>5020711</v>
      </c>
      <c r="L1562" s="18">
        <v>931734</v>
      </c>
      <c r="M1562" s="18" t="s">
        <v>3567</v>
      </c>
      <c r="N1562" s="16" t="s">
        <v>2678</v>
      </c>
      <c r="O1562" s="18" t="s">
        <v>1790</v>
      </c>
      <c r="P1562" s="18" t="s">
        <v>3568</v>
      </c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CONCLUÍDO</v>
      </c>
      <c r="R1562" s="36"/>
    </row>
    <row r="1563" spans="1:18">
      <c r="A1563" s="16">
        <v>46156</v>
      </c>
      <c r="B1563" s="16">
        <v>46157</v>
      </c>
      <c r="C1563" s="21">
        <v>51507013</v>
      </c>
      <c r="D1563" s="16" t="str">
        <f>IFERROR(VLOOKUP(Tabela5[[#This Row],[PREFIXO ]],Tabela4[#All],2,0),"CENTRO DE CUSTO")</f>
        <v>COLHED ALGODÃO JOHN DEERE CP 690</v>
      </c>
      <c r="E1563" s="18" t="s">
        <v>17</v>
      </c>
      <c r="F1563" s="21">
        <v>44325</v>
      </c>
      <c r="G1563" s="22">
        <v>3260</v>
      </c>
      <c r="H1563" s="22"/>
      <c r="I1563" s="22">
        <f t="shared" si="25"/>
        <v>3260</v>
      </c>
      <c r="J1563" s="18" t="s">
        <v>1120</v>
      </c>
      <c r="K1563" s="18">
        <v>9863898</v>
      </c>
      <c r="L1563" s="18">
        <v>930182</v>
      </c>
      <c r="M1563" s="18" t="s">
        <v>3569</v>
      </c>
      <c r="N1563" s="16" t="s">
        <v>3517</v>
      </c>
      <c r="O1563" s="18" t="s">
        <v>3570</v>
      </c>
      <c r="P1563" s="18" t="s">
        <v>3571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>
      <c r="A1564" s="16">
        <v>46156</v>
      </c>
      <c r="B1564" s="16">
        <v>46161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2446.88</v>
      </c>
      <c r="H1564" s="22">
        <v>813.12</v>
      </c>
      <c r="I1564" s="22">
        <f t="shared" si="25"/>
        <v>3260</v>
      </c>
      <c r="J1564" s="18" t="s">
        <v>1120</v>
      </c>
      <c r="K1564" s="18">
        <v>9867434</v>
      </c>
      <c r="L1564" s="18">
        <v>932875</v>
      </c>
      <c r="M1564" s="18" t="s">
        <v>3572</v>
      </c>
      <c r="N1564" s="16" t="s">
        <v>3573</v>
      </c>
      <c r="O1564" s="18" t="s">
        <v>3574</v>
      </c>
      <c r="P1564" s="18" t="s">
        <v>3561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>
      <c r="A1565" s="16">
        <v>46156</v>
      </c>
      <c r="B1565" s="16">
        <v>46157</v>
      </c>
      <c r="C1565" s="21">
        <v>51519055</v>
      </c>
      <c r="D1565" s="16" t="str">
        <f>IFERROR(VLOOKUP(Tabela5[[#This Row],[PREFIXO ]],Tabela4[#All],2,0),"CENTRO DE CUSTO")</f>
        <v>COLHED ALGODÃO JOHN DEERE CP 770</v>
      </c>
      <c r="E1565" s="18" t="s">
        <v>17</v>
      </c>
      <c r="F1565" s="21">
        <v>44301</v>
      </c>
      <c r="G1565" s="22">
        <v>2523.2199999999998</v>
      </c>
      <c r="H1565" s="22"/>
      <c r="I1565" s="22">
        <f t="shared" si="25"/>
        <v>2523.2199999999998</v>
      </c>
      <c r="J1565" s="18" t="s">
        <v>1120</v>
      </c>
      <c r="K1565" s="18">
        <v>9862071</v>
      </c>
      <c r="L1565" s="18">
        <v>930180</v>
      </c>
      <c r="M1565" s="18" t="s">
        <v>3575</v>
      </c>
      <c r="N1565" s="16" t="s">
        <v>3517</v>
      </c>
      <c r="O1565" s="18" t="s">
        <v>3576</v>
      </c>
      <c r="P1565" s="18" t="s">
        <v>3577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>
      <c r="A1566" s="16">
        <v>46156</v>
      </c>
      <c r="B1566" s="16">
        <v>46157</v>
      </c>
      <c r="C1566" s="21">
        <v>51521064</v>
      </c>
      <c r="D1566" s="16" t="str">
        <f>IFERROR(VLOOKUP(Tabela5[[#This Row],[PREFIXO ]],Tabela4[#All],2,0),"CENTRO DE CUSTO")</f>
        <v>COLHED ALGODÃO JOHN DEERE CP 690</v>
      </c>
      <c r="E1566" s="18" t="s">
        <v>17</v>
      </c>
      <c r="F1566" s="21">
        <v>44300</v>
      </c>
      <c r="G1566" s="22">
        <v>2333.7800000000002</v>
      </c>
      <c r="H1566" s="22"/>
      <c r="I1566" s="22">
        <f t="shared" si="25"/>
        <v>2333.7800000000002</v>
      </c>
      <c r="J1566" s="18" t="s">
        <v>1120</v>
      </c>
      <c r="K1566" s="18">
        <v>9862107</v>
      </c>
      <c r="L1566" s="18">
        <v>930188</v>
      </c>
      <c r="M1566" s="18" t="s">
        <v>3578</v>
      </c>
      <c r="N1566" s="16" t="s">
        <v>3517</v>
      </c>
      <c r="O1566" s="18" t="s">
        <v>3579</v>
      </c>
      <c r="P1566" s="18" t="s">
        <v>3580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>
      <c r="A1567" s="16">
        <v>46156</v>
      </c>
      <c r="B1567" s="16">
        <v>46157</v>
      </c>
      <c r="C1567" s="21">
        <v>51521057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44265</v>
      </c>
      <c r="G1567" s="22">
        <v>2263.09</v>
      </c>
      <c r="H1567" s="22"/>
      <c r="I1567" s="22">
        <f t="shared" si="25"/>
        <v>2263.09</v>
      </c>
      <c r="J1567" s="18" t="s">
        <v>1120</v>
      </c>
      <c r="K1567" s="18">
        <v>9862077</v>
      </c>
      <c r="L1567" s="18">
        <v>930180</v>
      </c>
      <c r="M1567" s="18" t="s">
        <v>3575</v>
      </c>
      <c r="N1567" s="16" t="s">
        <v>3517</v>
      </c>
      <c r="O1567" s="18" t="s">
        <v>3576</v>
      </c>
      <c r="P1567" s="18" t="s">
        <v>3577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>
      <c r="A1568" s="16">
        <v>46156</v>
      </c>
      <c r="B1568" s="16">
        <v>46157</v>
      </c>
      <c r="C1568" s="21">
        <v>51521072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44173</v>
      </c>
      <c r="G1568" s="22">
        <v>2243.3000000000002</v>
      </c>
      <c r="H1568" s="22"/>
      <c r="I1568" s="22">
        <f t="shared" si="25"/>
        <v>2243.3000000000002</v>
      </c>
      <c r="J1568" s="18" t="s">
        <v>1120</v>
      </c>
      <c r="K1568" s="18">
        <v>9862105</v>
      </c>
      <c r="L1568" s="18">
        <v>930188</v>
      </c>
      <c r="M1568" s="18" t="s">
        <v>3578</v>
      </c>
      <c r="N1568" s="16" t="s">
        <v>3517</v>
      </c>
      <c r="O1568" s="18" t="s">
        <v>3579</v>
      </c>
      <c r="P1568" s="18" t="s">
        <v>3580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>
      <c r="A1569" s="16">
        <v>46156</v>
      </c>
      <c r="B1569" s="16">
        <v>46157</v>
      </c>
      <c r="C1569" s="21">
        <v>5173102</v>
      </c>
      <c r="D1569" s="16" t="str">
        <f>IFERROR(VLOOKUP(Tabela5[[#This Row],[PREFIXO ]],Tabela4[#All],2,0),"CENTRO DE CUSTO")</f>
        <v>CENTRO DE CUSTO</v>
      </c>
      <c r="E1569" s="18" t="s">
        <v>17</v>
      </c>
      <c r="F1569" s="21">
        <v>44344</v>
      </c>
      <c r="G1569" s="22">
        <v>2206.54</v>
      </c>
      <c r="H1569" s="22"/>
      <c r="I1569" s="22">
        <f t="shared" si="25"/>
        <v>2206.54</v>
      </c>
      <c r="J1569" s="18" t="s">
        <v>1120</v>
      </c>
      <c r="K1569" s="18">
        <v>9862132</v>
      </c>
      <c r="L1569" s="18">
        <v>930182</v>
      </c>
      <c r="M1569" s="18" t="s">
        <v>3569</v>
      </c>
      <c r="N1569" s="16" t="s">
        <v>3517</v>
      </c>
      <c r="O1569" s="18" t="s">
        <v>3570</v>
      </c>
      <c r="P1569" s="18" t="s">
        <v>3571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>
      <c r="A1570" s="16">
        <v>46156</v>
      </c>
      <c r="B1570" s="16">
        <v>46157</v>
      </c>
      <c r="C1570" s="21">
        <v>51521051</v>
      </c>
      <c r="D1570" s="16" t="str">
        <f>IFERROR(VLOOKUP(Tabela5[[#This Row],[PREFIXO ]],Tabela4[#All],2,0),"CENTRO DE CUSTO")</f>
        <v>COLHED ALGODÃO JOHN DEERE CP 690</v>
      </c>
      <c r="E1570" s="18" t="s">
        <v>17</v>
      </c>
      <c r="F1570" s="21">
        <v>44257</v>
      </c>
      <c r="G1570" s="22">
        <v>2200.88</v>
      </c>
      <c r="H1570" s="22"/>
      <c r="I1570" s="22">
        <f t="shared" si="25"/>
        <v>2200.88</v>
      </c>
      <c r="J1570" s="18" t="s">
        <v>1120</v>
      </c>
      <c r="K1570" s="18">
        <v>9862122</v>
      </c>
      <c r="L1570" s="18">
        <v>930182</v>
      </c>
      <c r="M1570" s="18" t="s">
        <v>3569</v>
      </c>
      <c r="N1570" s="16" t="s">
        <v>3517</v>
      </c>
      <c r="O1570" s="18" t="s">
        <v>3570</v>
      </c>
      <c r="P1570" s="18" t="s">
        <v>3571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>
      <c r="A1571" s="16">
        <v>46156</v>
      </c>
      <c r="B1571" s="16">
        <v>46157</v>
      </c>
      <c r="C1571" s="21">
        <v>51521066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44303</v>
      </c>
      <c r="G1571" s="22">
        <v>2183.92</v>
      </c>
      <c r="H1571" s="22"/>
      <c r="I1571" s="22">
        <f t="shared" si="25"/>
        <v>2183.92</v>
      </c>
      <c r="J1571" s="18" t="s">
        <v>1120</v>
      </c>
      <c r="K1571" s="18">
        <v>9862074</v>
      </c>
      <c r="L1571" s="18">
        <v>930180</v>
      </c>
      <c r="M1571" s="18" t="s">
        <v>3575</v>
      </c>
      <c r="N1571" s="16" t="s">
        <v>3517</v>
      </c>
      <c r="O1571" s="18" t="s">
        <v>3576</v>
      </c>
      <c r="P1571" s="18" t="s">
        <v>3577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>
      <c r="A1572" s="16">
        <v>46156</v>
      </c>
      <c r="B1572" s="16">
        <v>46157</v>
      </c>
      <c r="C1572" s="21">
        <v>51521065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44304</v>
      </c>
      <c r="G1572" s="22">
        <v>2155.64</v>
      </c>
      <c r="H1572" s="22"/>
      <c r="I1572" s="22">
        <f t="shared" si="25"/>
        <v>2155.64</v>
      </c>
      <c r="J1572" s="18" t="s">
        <v>1120</v>
      </c>
      <c r="K1572" s="18">
        <v>9862068</v>
      </c>
      <c r="L1572" s="18">
        <v>930180</v>
      </c>
      <c r="M1572" s="18" t="s">
        <v>3575</v>
      </c>
      <c r="N1572" s="16" t="s">
        <v>3517</v>
      </c>
      <c r="O1572" s="18" t="s">
        <v>3576</v>
      </c>
      <c r="P1572" s="18" t="s">
        <v>3577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>
      <c r="A1573" s="16">
        <v>46156</v>
      </c>
      <c r="B1573" s="16">
        <v>46157</v>
      </c>
      <c r="C1573" s="21">
        <v>51521054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44305</v>
      </c>
      <c r="G1573" s="22">
        <v>2130.1999999999998</v>
      </c>
      <c r="H1573" s="22"/>
      <c r="I1573" s="22">
        <f t="shared" si="25"/>
        <v>2130.1999999999998</v>
      </c>
      <c r="J1573" s="18" t="s">
        <v>1120</v>
      </c>
      <c r="K1573" s="18">
        <v>9862069</v>
      </c>
      <c r="L1573" s="18">
        <v>930180</v>
      </c>
      <c r="M1573" s="18" t="s">
        <v>3575</v>
      </c>
      <c r="N1573" s="16" t="s">
        <v>3517</v>
      </c>
      <c r="O1573" s="18" t="s">
        <v>3576</v>
      </c>
      <c r="P1573" s="18" t="s">
        <v>3577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>
      <c r="A1574" s="16">
        <v>46156</v>
      </c>
      <c r="B1574" s="16">
        <v>46157</v>
      </c>
      <c r="C1574" s="21">
        <v>51521063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44266</v>
      </c>
      <c r="G1574" s="22">
        <v>2051.0300000000002</v>
      </c>
      <c r="H1574" s="22"/>
      <c r="I1574" s="22">
        <f t="shared" si="25"/>
        <v>2051.0300000000002</v>
      </c>
      <c r="J1574" s="18" t="s">
        <v>1120</v>
      </c>
      <c r="K1574" s="18">
        <v>9862127</v>
      </c>
      <c r="L1574" s="18">
        <v>930182</v>
      </c>
      <c r="M1574" s="18" t="s">
        <v>3569</v>
      </c>
      <c r="N1574" s="16" t="s">
        <v>3517</v>
      </c>
      <c r="O1574" s="18" t="s">
        <v>3570</v>
      </c>
      <c r="P1574" s="18" t="s">
        <v>3571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>
      <c r="A1575" s="16">
        <v>46156</v>
      </c>
      <c r="B1575" s="16">
        <v>46157</v>
      </c>
      <c r="C1575" s="21">
        <v>51521062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44125</v>
      </c>
      <c r="G1575" s="22">
        <v>2011.44</v>
      </c>
      <c r="H1575" s="22"/>
      <c r="I1575" s="22">
        <f t="shared" si="25"/>
        <v>2011.44</v>
      </c>
      <c r="J1575" s="18" t="s">
        <v>1120</v>
      </c>
      <c r="K1575" s="18">
        <v>9862118</v>
      </c>
      <c r="L1575" s="18">
        <v>930182</v>
      </c>
      <c r="M1575" s="18" t="s">
        <v>3569</v>
      </c>
      <c r="N1575" s="16" t="s">
        <v>3517</v>
      </c>
      <c r="O1575" s="18" t="s">
        <v>3570</v>
      </c>
      <c r="P1575" s="18" t="s">
        <v>3571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>
      <c r="A1576" s="16">
        <v>46156</v>
      </c>
      <c r="B1576" s="16">
        <v>46157</v>
      </c>
      <c r="C1576" s="21">
        <v>51521058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44340</v>
      </c>
      <c r="G1576" s="22">
        <v>1740</v>
      </c>
      <c r="H1576" s="22"/>
      <c r="I1576" s="22">
        <f t="shared" si="25"/>
        <v>1740</v>
      </c>
      <c r="J1576" s="18" t="s">
        <v>1120</v>
      </c>
      <c r="K1576" s="18">
        <v>9862073</v>
      </c>
      <c r="L1576" s="18">
        <v>930180</v>
      </c>
      <c r="M1576" s="18" t="s">
        <v>3575</v>
      </c>
      <c r="N1576" s="16" t="s">
        <v>3517</v>
      </c>
      <c r="O1576" s="18" t="s">
        <v>3576</v>
      </c>
      <c r="P1576" s="18" t="s">
        <v>3577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>
      <c r="A1577" s="16">
        <v>46156</v>
      </c>
      <c r="B1577" s="16">
        <v>46157</v>
      </c>
      <c r="C1577" s="21">
        <v>51521049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44343</v>
      </c>
      <c r="G1577" s="22">
        <v>1740</v>
      </c>
      <c r="H1577" s="22"/>
      <c r="I1577" s="22">
        <f t="shared" si="25"/>
        <v>1740</v>
      </c>
      <c r="J1577" s="18" t="s">
        <v>1120</v>
      </c>
      <c r="K1577" s="18">
        <v>9862070</v>
      </c>
      <c r="L1577" s="18">
        <v>930180</v>
      </c>
      <c r="M1577" s="18" t="s">
        <v>3575</v>
      </c>
      <c r="N1577" s="16" t="s">
        <v>3517</v>
      </c>
      <c r="O1577" s="18" t="s">
        <v>3576</v>
      </c>
      <c r="P1577" s="18" t="s">
        <v>3577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>
      <c r="A1578" s="16">
        <v>46156</v>
      </c>
      <c r="B1578" s="16">
        <v>46157</v>
      </c>
      <c r="C1578" s="21">
        <v>51521044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44262</v>
      </c>
      <c r="G1578" s="22">
        <v>1740</v>
      </c>
      <c r="H1578" s="22"/>
      <c r="I1578" s="22">
        <f t="shared" si="25"/>
        <v>1740</v>
      </c>
      <c r="J1578" s="18" t="s">
        <v>1120</v>
      </c>
      <c r="K1578" s="18">
        <v>9862111</v>
      </c>
      <c r="L1578" s="18">
        <v>930188</v>
      </c>
      <c r="M1578" s="18" t="s">
        <v>3578</v>
      </c>
      <c r="N1578" s="16" t="s">
        <v>3517</v>
      </c>
      <c r="O1578" s="18" t="s">
        <v>3579</v>
      </c>
      <c r="P1578" s="18" t="s">
        <v>3580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>
      <c r="A1579" s="16">
        <v>46156</v>
      </c>
      <c r="B1579" s="16">
        <v>46157</v>
      </c>
      <c r="C1579" s="21">
        <v>51521050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44342</v>
      </c>
      <c r="G1579" s="22">
        <v>1740</v>
      </c>
      <c r="H1579" s="22"/>
      <c r="I1579" s="22">
        <f t="shared" si="25"/>
        <v>1740</v>
      </c>
      <c r="J1579" s="18" t="s">
        <v>1120</v>
      </c>
      <c r="K1579" s="18">
        <v>9862103</v>
      </c>
      <c r="L1579" s="18">
        <v>930188</v>
      </c>
      <c r="M1579" s="18" t="s">
        <v>3578</v>
      </c>
      <c r="N1579" s="16" t="s">
        <v>3517</v>
      </c>
      <c r="O1579" s="18" t="s">
        <v>3579</v>
      </c>
      <c r="P1579" s="18" t="s">
        <v>3580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>
      <c r="A1580" s="16">
        <v>46156</v>
      </c>
      <c r="B1580" s="16">
        <v>46157</v>
      </c>
      <c r="C1580" s="21">
        <v>51521069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44174</v>
      </c>
      <c r="G1580" s="22">
        <v>1740</v>
      </c>
      <c r="H1580" s="22"/>
      <c r="I1580" s="22">
        <f t="shared" si="25"/>
        <v>1740</v>
      </c>
      <c r="J1580" s="18" t="s">
        <v>1120</v>
      </c>
      <c r="K1580" s="18">
        <v>9862137</v>
      </c>
      <c r="L1580" s="18">
        <v>930182</v>
      </c>
      <c r="M1580" s="18" t="s">
        <v>3569</v>
      </c>
      <c r="N1580" s="16" t="s">
        <v>3517</v>
      </c>
      <c r="O1580" s="18" t="s">
        <v>3570</v>
      </c>
      <c r="P1580" s="18" t="s">
        <v>3571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>
      <c r="A1581" s="16">
        <v>46156</v>
      </c>
      <c r="B1581" s="16">
        <v>46157</v>
      </c>
      <c r="C1581" s="21">
        <v>5173120</v>
      </c>
      <c r="D1581" s="16" t="str">
        <f>IFERROR(VLOOKUP(Tabela5[[#This Row],[PREFIXO ]],Tabela4[#All],2,0),"CENTRO DE CUSTO")</f>
        <v>COLHED ALGODÃO JOHN DEERE 7760</v>
      </c>
      <c r="E1581" s="18" t="s">
        <v>17</v>
      </c>
      <c r="F1581" s="21">
        <v>44341</v>
      </c>
      <c r="G1581" s="22">
        <v>1740</v>
      </c>
      <c r="H1581" s="22"/>
      <c r="I1581" s="22">
        <f t="shared" si="25"/>
        <v>1740</v>
      </c>
      <c r="J1581" s="18" t="s">
        <v>1120</v>
      </c>
      <c r="K1581" s="18">
        <v>9862136</v>
      </c>
      <c r="L1581" s="18">
        <v>930182</v>
      </c>
      <c r="M1581" s="18" t="s">
        <v>3569</v>
      </c>
      <c r="N1581" s="16" t="s">
        <v>3517</v>
      </c>
      <c r="O1581" s="18" t="s">
        <v>3570</v>
      </c>
      <c r="P1581" s="18" t="s">
        <v>3571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>
      <c r="A1582" s="16">
        <v>46156</v>
      </c>
      <c r="B1582" s="16">
        <v>46160</v>
      </c>
      <c r="C1582" s="21" t="s">
        <v>3581</v>
      </c>
      <c r="D1582" s="16" t="str">
        <f>IFERROR(VLOOKUP(Tabela5[[#This Row],[PREFIXO ]],Tabela4[#All],2,0),"CENTRO DE CUSTO")</f>
        <v>CENTRO DE CUSTO</v>
      </c>
      <c r="E1582" s="18" t="s">
        <v>66</v>
      </c>
      <c r="F1582" s="21">
        <v>9693</v>
      </c>
      <c r="G1582" s="22">
        <v>52500</v>
      </c>
      <c r="H1582" s="22"/>
      <c r="I1582" s="22">
        <f t="shared" si="25"/>
        <v>52500</v>
      </c>
      <c r="J1582" s="18" t="s">
        <v>1262</v>
      </c>
      <c r="K1582" s="18" t="s">
        <v>3582</v>
      </c>
      <c r="L1582" s="18">
        <v>931240</v>
      </c>
      <c r="M1582" s="18" t="s">
        <v>3583</v>
      </c>
      <c r="N1582" s="16" t="s">
        <v>2678</v>
      </c>
      <c r="O1582" s="18" t="s">
        <v>3584</v>
      </c>
      <c r="P1582" s="18" t="s">
        <v>3573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>
      <c r="A1583" s="16">
        <v>46204</v>
      </c>
      <c r="B1583" s="16">
        <v>46206</v>
      </c>
      <c r="C1583" s="21">
        <v>11521025</v>
      </c>
      <c r="D1583" s="16" t="str">
        <f>IFERROR(VLOOKUP(Tabela5[[#This Row],[PREFIXO ]],Tabela4[#All],2,0),"CENTRO DE CUSTO")</f>
        <v>TRAT PN MED CASE PUMA 140</v>
      </c>
      <c r="E1583" s="18" t="s">
        <v>312</v>
      </c>
      <c r="F1583" s="21" t="s">
        <v>2884</v>
      </c>
      <c r="G1583" s="22">
        <v>1500</v>
      </c>
      <c r="H1583" s="22"/>
      <c r="I1583" s="22">
        <f t="shared" si="25"/>
        <v>1500</v>
      </c>
      <c r="J1583" s="18" t="s">
        <v>1196</v>
      </c>
      <c r="K1583" s="18" t="s">
        <v>3585</v>
      </c>
      <c r="L1583" s="18" t="s">
        <v>3554</v>
      </c>
      <c r="M1583" s="18" t="s">
        <v>3555</v>
      </c>
      <c r="N1583" s="16">
        <v>46206</v>
      </c>
      <c r="O1583" s="18" t="s">
        <v>3047</v>
      </c>
      <c r="P1583" s="18" t="s">
        <v>3556</v>
      </c>
      <c r="Q1583" s="16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>
      <c r="A1584" s="16">
        <v>46204</v>
      </c>
      <c r="B1584" s="16">
        <v>46206</v>
      </c>
      <c r="C1584" s="21">
        <v>11521004</v>
      </c>
      <c r="D1584" s="16" t="str">
        <f>IFERROR(VLOOKUP(Tabela5[[#This Row],[PREFIXO ]],Tabela4[#All],2,0),"CENTRO DE CUSTO")</f>
        <v>TRAT PN EXT PES CASE STEIGER 620</v>
      </c>
      <c r="E1584" s="18" t="s">
        <v>312</v>
      </c>
      <c r="F1584" s="21" t="s">
        <v>2876</v>
      </c>
      <c r="G1584" s="22">
        <v>1323</v>
      </c>
      <c r="H1584" s="22"/>
      <c r="I1584" s="22">
        <f t="shared" si="25"/>
        <v>1323</v>
      </c>
      <c r="J1584" s="18" t="s">
        <v>1196</v>
      </c>
      <c r="K1584" s="18" t="s">
        <v>3586</v>
      </c>
      <c r="L1584" s="18" t="s">
        <v>3554</v>
      </c>
      <c r="M1584" s="18" t="s">
        <v>3555</v>
      </c>
      <c r="N1584" s="16">
        <v>46206</v>
      </c>
      <c r="O1584" s="18" t="s">
        <v>3047</v>
      </c>
      <c r="P1584" s="18" t="s">
        <v>3556</v>
      </c>
      <c r="Q1584" s="16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/>
    </row>
    <row r="1585" spans="1:18">
      <c r="A1585" s="16">
        <v>46202</v>
      </c>
      <c r="B1585" s="16">
        <v>46205</v>
      </c>
      <c r="C1585" s="21">
        <v>22030442</v>
      </c>
      <c r="D1585" s="16" t="str">
        <f>IFERROR(VLOOKUP(Tabela5[[#This Row],[PREFIXO ]],Tabela4[#All],2,0),"CENTRO DE CUSTO")</f>
        <v>CENTRO DE CUSTO</v>
      </c>
      <c r="E1585" s="18" t="s">
        <v>227</v>
      </c>
      <c r="F1585" s="21">
        <v>220874</v>
      </c>
      <c r="G1585" s="22">
        <v>155</v>
      </c>
      <c r="H1585" s="22"/>
      <c r="I1585" s="22">
        <f t="shared" si="25"/>
        <v>155</v>
      </c>
      <c r="J1585" s="18" t="s">
        <v>1082</v>
      </c>
      <c r="K1585" s="18" t="s">
        <v>3587</v>
      </c>
      <c r="L1585" s="18" t="s">
        <v>3588</v>
      </c>
      <c r="M1585" s="18" t="s">
        <v>3589</v>
      </c>
      <c r="N1585" s="16">
        <v>46206</v>
      </c>
      <c r="O1585" s="18" t="s">
        <v>2008</v>
      </c>
      <c r="P1585" s="18" t="s">
        <v>3590</v>
      </c>
      <c r="Q1585" s="16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>
      <c r="A1586" s="16">
        <v>46202</v>
      </c>
      <c r="B1586" s="16">
        <v>46205</v>
      </c>
      <c r="C1586" s="21">
        <v>51521051</v>
      </c>
      <c r="D1586" s="16" t="str">
        <f>IFERROR(VLOOKUP(Tabela5[[#This Row],[PREFIXO ]],Tabela4[#All],2,0),"CENTRO DE CUSTO")</f>
        <v>COLHED ALGODÃO JOHN DEERE CP 690</v>
      </c>
      <c r="E1586" s="18" t="s">
        <v>227</v>
      </c>
      <c r="F1586" s="21">
        <v>225180</v>
      </c>
      <c r="G1586" s="22"/>
      <c r="H1586" s="22">
        <v>662</v>
      </c>
      <c r="I1586" s="22">
        <f t="shared" si="25"/>
        <v>662</v>
      </c>
      <c r="J1586" s="18" t="s">
        <v>1082</v>
      </c>
      <c r="K1586" s="18" t="s">
        <v>3591</v>
      </c>
      <c r="L1586" s="18" t="s">
        <v>3588</v>
      </c>
      <c r="M1586" s="18" t="s">
        <v>3589</v>
      </c>
      <c r="N1586" s="16">
        <v>46206</v>
      </c>
      <c r="O1586" s="18" t="s">
        <v>2008</v>
      </c>
      <c r="P1586" s="18" t="s">
        <v>3590</v>
      </c>
      <c r="Q1586" s="16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>
      <c r="A1587" s="16">
        <v>46156</v>
      </c>
      <c r="B1587" s="16">
        <v>46157</v>
      </c>
      <c r="C1587" s="21">
        <v>23220001</v>
      </c>
      <c r="D1587" s="16" t="str">
        <f>IFERROR(VLOOKUP(Tabela5[[#This Row],[PREFIXO ]],Tabela4[#All],2,0),"CENTRO DE CUSTO")</f>
        <v>CENTRO DE CUSTO</v>
      </c>
      <c r="E1587" s="18" t="s">
        <v>162</v>
      </c>
      <c r="F1587" s="21">
        <v>13190</v>
      </c>
      <c r="G1587" s="22">
        <v>10504.5</v>
      </c>
      <c r="H1587" s="22"/>
      <c r="I1587" s="22">
        <f t="shared" si="25"/>
        <v>10504.5</v>
      </c>
      <c r="J1587" s="18" t="s">
        <v>1120</v>
      </c>
      <c r="K1587" s="18">
        <v>9861659</v>
      </c>
      <c r="L1587" s="18">
        <v>930123</v>
      </c>
      <c r="M1587" s="18" t="s">
        <v>3592</v>
      </c>
      <c r="N1587" s="16" t="s">
        <v>3436</v>
      </c>
      <c r="O1587" s="18" t="s">
        <v>3593</v>
      </c>
      <c r="P1587" s="18" t="s">
        <v>3594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 t="s">
        <v>3297</v>
      </c>
    </row>
    <row r="1588" spans="1:18">
      <c r="A1588" s="16">
        <v>46202</v>
      </c>
      <c r="B1588" s="16">
        <v>46205</v>
      </c>
      <c r="C1588" s="21">
        <v>11040014</v>
      </c>
      <c r="D1588" s="16" t="str">
        <f>IFERROR(VLOOKUP(Tabela5[[#This Row],[PREFIXO ]],Tabela4[#All],2,0),"CENTRO DE CUSTO")</f>
        <v>CAV MEC EXT PES SCANIA R500</v>
      </c>
      <c r="E1588" s="18" t="s">
        <v>227</v>
      </c>
      <c r="F1588" s="21">
        <v>226217</v>
      </c>
      <c r="G1588" s="22"/>
      <c r="H1588" s="22">
        <v>3102.16</v>
      </c>
      <c r="I1588" s="22">
        <f t="shared" si="25"/>
        <v>3102.16</v>
      </c>
      <c r="J1588" s="18" t="s">
        <v>1082</v>
      </c>
      <c r="K1588" s="18" t="s">
        <v>3595</v>
      </c>
      <c r="L1588" s="18" t="s">
        <v>3588</v>
      </c>
      <c r="M1588" s="18" t="s">
        <v>3589</v>
      </c>
      <c r="N1588" s="16">
        <v>46206</v>
      </c>
      <c r="O1588" s="18" t="s">
        <v>2008</v>
      </c>
      <c r="P1588" s="18" t="s">
        <v>3590</v>
      </c>
      <c r="Q1588" s="16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>
      <c r="A1589" s="16">
        <v>46156</v>
      </c>
      <c r="B1589" s="16">
        <v>46157</v>
      </c>
      <c r="C1589" s="21">
        <v>500580263</v>
      </c>
      <c r="D1589" s="16" t="str">
        <f>IFERROR(VLOOKUP(Tabela5[[#This Row],[PREFIXO ]],Tabela4[#All],2,0),"CENTRO DE CUSTO")</f>
        <v>Colheit. Grãos-Axial</v>
      </c>
      <c r="E1589" s="18" t="s">
        <v>247</v>
      </c>
      <c r="F1589" s="21">
        <v>135852</v>
      </c>
      <c r="G1589" s="22">
        <v>912</v>
      </c>
      <c r="H1589" s="22">
        <v>456</v>
      </c>
      <c r="I1589" s="22">
        <f t="shared" si="25"/>
        <v>1368</v>
      </c>
      <c r="J1589" s="18" t="s">
        <v>1120</v>
      </c>
      <c r="K1589" s="18">
        <v>5020777</v>
      </c>
      <c r="L1589" s="18">
        <v>930178</v>
      </c>
      <c r="M1589" s="18" t="s">
        <v>3596</v>
      </c>
      <c r="N1589" s="16" t="s">
        <v>3517</v>
      </c>
      <c r="O1589" s="18" t="s">
        <v>3597</v>
      </c>
      <c r="P1589" s="18" t="s">
        <v>3389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>
      <c r="A1590" s="16">
        <v>46156</v>
      </c>
      <c r="B1590" s="16">
        <v>46157</v>
      </c>
      <c r="C1590" s="21">
        <v>51519055</v>
      </c>
      <c r="D1590" s="16" t="str">
        <f>IFERROR(VLOOKUP(Tabela5[[#This Row],[PREFIXO ]],Tabela4[#All],2,0),"CENTRO DE CUSTO")</f>
        <v>COLHED ALGODÃO JOHN DEERE CP 770</v>
      </c>
      <c r="E1590" s="18" t="s">
        <v>255</v>
      </c>
      <c r="F1590" s="21">
        <v>967</v>
      </c>
      <c r="G1590" s="22">
        <v>1600</v>
      </c>
      <c r="H1590" s="22"/>
      <c r="I1590" s="22">
        <f t="shared" si="25"/>
        <v>1600</v>
      </c>
      <c r="J1590" s="18" t="s">
        <v>1120</v>
      </c>
      <c r="K1590" s="18">
        <v>9861929</v>
      </c>
      <c r="L1590" s="18">
        <v>930191</v>
      </c>
      <c r="M1590" s="18" t="s">
        <v>3598</v>
      </c>
      <c r="N1590" s="16" t="s">
        <v>3517</v>
      </c>
      <c r="O1590" s="18" t="s">
        <v>1848</v>
      </c>
      <c r="P1590" s="18" t="s">
        <v>3547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>
      <c r="A1591" s="16">
        <v>46156</v>
      </c>
      <c r="B1591" s="16">
        <v>46157</v>
      </c>
      <c r="C1591" s="21">
        <v>51519059</v>
      </c>
      <c r="D1591" s="16" t="str">
        <f>IFERROR(VLOOKUP(Tabela5[[#This Row],[PREFIXO ]],Tabela4[#All],2,0),"CENTRO DE CUSTO")</f>
        <v>CENTRO DE CUSTO</v>
      </c>
      <c r="E1591" s="18" t="s">
        <v>255</v>
      </c>
      <c r="F1591" s="21">
        <v>966</v>
      </c>
      <c r="G1591" s="22">
        <v>1550</v>
      </c>
      <c r="H1591" s="22"/>
      <c r="I1591" s="22">
        <f t="shared" si="25"/>
        <v>1550</v>
      </c>
      <c r="J1591" s="18" t="s">
        <v>1120</v>
      </c>
      <c r="K1591" s="18">
        <v>9861923</v>
      </c>
      <c r="L1591" s="18">
        <v>930191</v>
      </c>
      <c r="M1591" s="18" t="s">
        <v>3598</v>
      </c>
      <c r="N1591" s="16" t="s">
        <v>3517</v>
      </c>
      <c r="O1591" s="18" t="s">
        <v>1848</v>
      </c>
      <c r="P1591" s="18" t="s">
        <v>3547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>
      <c r="A1592" s="16">
        <v>46156</v>
      </c>
      <c r="B1592" s="16">
        <v>46157</v>
      </c>
      <c r="C1592" s="21">
        <v>51521047</v>
      </c>
      <c r="D1592" s="16" t="str">
        <f>IFERROR(VLOOKUP(Tabela5[[#This Row],[PREFIXO ]],Tabela4[#All],2,0),"CENTRO DE CUSTO")</f>
        <v>COLHED ALGODÃO JOHN DEERE CP 690</v>
      </c>
      <c r="E1592" s="18" t="s">
        <v>255</v>
      </c>
      <c r="F1592" s="21">
        <v>968</v>
      </c>
      <c r="G1592" s="22">
        <v>1450</v>
      </c>
      <c r="H1592" s="22"/>
      <c r="I1592" s="22">
        <f t="shared" si="25"/>
        <v>1450</v>
      </c>
      <c r="J1592" s="18" t="s">
        <v>1120</v>
      </c>
      <c r="K1592" s="18">
        <v>9861922</v>
      </c>
      <c r="L1592" s="18">
        <v>930191</v>
      </c>
      <c r="M1592" s="18" t="s">
        <v>3598</v>
      </c>
      <c r="N1592" s="16" t="s">
        <v>3517</v>
      </c>
      <c r="O1592" s="18" t="s">
        <v>1848</v>
      </c>
      <c r="P1592" s="18" t="s">
        <v>3547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>
      <c r="A1593" s="16">
        <v>46156</v>
      </c>
      <c r="B1593" s="16">
        <v>46157</v>
      </c>
      <c r="C1593" s="21">
        <v>51521058</v>
      </c>
      <c r="D1593" s="16" t="str">
        <f>IFERROR(VLOOKUP(Tabela5[[#This Row],[PREFIXO ]],Tabela4[#All],2,0),"CENTRO DE CUSTO")</f>
        <v>COLHED ALGODÃO JOHN DEERE CP 690</v>
      </c>
      <c r="E1593" s="18" t="s">
        <v>255</v>
      </c>
      <c r="F1593" s="21">
        <v>969</v>
      </c>
      <c r="G1593" s="22">
        <v>1400</v>
      </c>
      <c r="H1593" s="22"/>
      <c r="I1593" s="22">
        <f t="shared" si="25"/>
        <v>1400</v>
      </c>
      <c r="J1593" s="18" t="s">
        <v>1120</v>
      </c>
      <c r="K1593" s="18">
        <v>9861916</v>
      </c>
      <c r="L1593" s="18">
        <v>930191</v>
      </c>
      <c r="M1593" s="18" t="s">
        <v>3598</v>
      </c>
      <c r="N1593" s="16" t="s">
        <v>3517</v>
      </c>
      <c r="O1593" s="18" t="s">
        <v>1848</v>
      </c>
      <c r="P1593" s="18" t="s">
        <v>3547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>
      <c r="A1594" s="16">
        <v>46156</v>
      </c>
      <c r="B1594" s="16">
        <v>46157</v>
      </c>
      <c r="C1594" s="21">
        <v>51521059</v>
      </c>
      <c r="D1594" s="16" t="str">
        <f>IFERROR(VLOOKUP(Tabela5[[#This Row],[PREFIXO ]],Tabela4[#All],2,0),"CENTRO DE CUSTO")</f>
        <v>COLHED ALGODÃO JOHN DEERE CP 690</v>
      </c>
      <c r="E1594" s="18" t="s">
        <v>255</v>
      </c>
      <c r="F1594" s="21">
        <v>970</v>
      </c>
      <c r="G1594" s="22">
        <v>1350</v>
      </c>
      <c r="H1594" s="22"/>
      <c r="I1594" s="22">
        <f t="shared" si="25"/>
        <v>1350</v>
      </c>
      <c r="J1594" s="18" t="s">
        <v>1120</v>
      </c>
      <c r="K1594" s="18">
        <v>9861912</v>
      </c>
      <c r="L1594" s="18">
        <v>930191</v>
      </c>
      <c r="M1594" s="18" t="s">
        <v>3598</v>
      </c>
      <c r="N1594" s="16" t="s">
        <v>3517</v>
      </c>
      <c r="O1594" s="18" t="s">
        <v>1848</v>
      </c>
      <c r="P1594" s="18" t="s">
        <v>3547</v>
      </c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CONCLUÍDO</v>
      </c>
      <c r="R1594" s="36"/>
    </row>
    <row r="1595" spans="1:18">
      <c r="A1595" s="16">
        <v>46156</v>
      </c>
      <c r="B1595" s="16">
        <v>46157</v>
      </c>
      <c r="C1595" s="21">
        <v>5173120</v>
      </c>
      <c r="D1595" s="16" t="str">
        <f>IFERROR(VLOOKUP(Tabela5[[#This Row],[PREFIXO ]],Tabela4[#All],2,0),"CENTRO DE CUSTO")</f>
        <v>COLHED ALGODÃO JOHN DEERE 7760</v>
      </c>
      <c r="E1595" s="18" t="s">
        <v>255</v>
      </c>
      <c r="F1595" s="21">
        <v>973</v>
      </c>
      <c r="G1595" s="22">
        <v>1300</v>
      </c>
      <c r="H1595" s="22"/>
      <c r="I1595" s="22">
        <f t="shared" si="25"/>
        <v>1300</v>
      </c>
      <c r="J1595" s="18" t="s">
        <v>1120</v>
      </c>
      <c r="K1595" s="18">
        <v>9861943</v>
      </c>
      <c r="L1595" s="18">
        <v>930191</v>
      </c>
      <c r="M1595" s="18" t="s">
        <v>3598</v>
      </c>
      <c r="N1595" s="16" t="s">
        <v>3517</v>
      </c>
      <c r="O1595" s="18" t="s">
        <v>1848</v>
      </c>
      <c r="P1595" s="18" t="s">
        <v>3547</v>
      </c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CONCLUÍDO</v>
      </c>
      <c r="R1595" s="36"/>
    </row>
    <row r="1596" spans="1:18">
      <c r="A1596" s="16">
        <v>46156</v>
      </c>
      <c r="B1596" s="16">
        <v>46157</v>
      </c>
      <c r="C1596" s="21">
        <v>15770031</v>
      </c>
      <c r="D1596" s="16" t="str">
        <f>IFERROR(VLOOKUP(Tabela5[[#This Row],[PREFIXO ]],Tabela4[#All],2,0),"CENTRO DE CUSTO")</f>
        <v>PLATAF ROÇAGEM WATANABE MAVERICK</v>
      </c>
      <c r="E1596" s="18" t="s">
        <v>255</v>
      </c>
      <c r="F1596" s="21">
        <v>972</v>
      </c>
      <c r="G1596" s="22">
        <v>800</v>
      </c>
      <c r="H1596" s="22"/>
      <c r="I1596" s="22">
        <f t="shared" si="25"/>
        <v>800</v>
      </c>
      <c r="J1596" s="18" t="s">
        <v>1120</v>
      </c>
      <c r="K1596" s="18">
        <v>9861907</v>
      </c>
      <c r="L1596" s="18">
        <v>930191</v>
      </c>
      <c r="M1596" s="18" t="s">
        <v>3598</v>
      </c>
      <c r="N1596" s="16" t="s">
        <v>3517</v>
      </c>
      <c r="O1596" s="18" t="s">
        <v>1848</v>
      </c>
      <c r="P1596" s="18" t="s">
        <v>3547</v>
      </c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CONCLUÍDO</v>
      </c>
      <c r="R1596" s="36"/>
    </row>
    <row r="1597" spans="1:18">
      <c r="A1597" s="16">
        <v>46156</v>
      </c>
      <c r="B1597" s="16">
        <v>46157</v>
      </c>
      <c r="C1597" s="21">
        <v>1173001</v>
      </c>
      <c r="D1597" s="16" t="str">
        <f>IFERROR(VLOOKUP(Tabela5[[#This Row],[PREFIXO ]],Tabela4[#All],2,0),"CENTRO DE CUSTO")</f>
        <v>TRAT PN LEVE M FERGUSON MF 275</v>
      </c>
      <c r="E1597" s="18" t="s">
        <v>255</v>
      </c>
      <c r="F1597" s="21">
        <v>971</v>
      </c>
      <c r="G1597" s="22">
        <v>400</v>
      </c>
      <c r="H1597" s="22"/>
      <c r="I1597" s="22">
        <f t="shared" si="25"/>
        <v>400</v>
      </c>
      <c r="J1597" s="18" t="s">
        <v>1120</v>
      </c>
      <c r="K1597" s="18">
        <v>9861938</v>
      </c>
      <c r="L1597" s="18">
        <v>930191</v>
      </c>
      <c r="M1597" s="18" t="s">
        <v>3598</v>
      </c>
      <c r="N1597" s="16" t="s">
        <v>3517</v>
      </c>
      <c r="O1597" s="18" t="s">
        <v>1848</v>
      </c>
      <c r="P1597" s="18" t="s">
        <v>3547</v>
      </c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CONCLUÍDO</v>
      </c>
      <c r="R1597" s="36"/>
    </row>
    <row r="1598" spans="1:18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1262</v>
      </c>
      <c r="K1598" s="18">
        <v>9865277</v>
      </c>
      <c r="L1598" s="18" t="s">
        <v>3599</v>
      </c>
      <c r="M1598" s="18" t="s">
        <v>3600</v>
      </c>
      <c r="N1598" s="16" t="s">
        <v>3521</v>
      </c>
      <c r="O1598" s="18" t="s">
        <v>3601</v>
      </c>
      <c r="P1598" s="18" t="s">
        <v>3602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1082</v>
      </c>
      <c r="K1599" s="18">
        <v>9865067</v>
      </c>
      <c r="L1599" s="18">
        <v>937079</v>
      </c>
      <c r="M1599" s="18" t="s">
        <v>3603</v>
      </c>
      <c r="N1599" s="16" t="s">
        <v>3604</v>
      </c>
      <c r="O1599" s="18" t="s">
        <v>3605</v>
      </c>
      <c r="P1599" s="18" t="s">
        <v>3606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9" si="26">G1600+H1600</f>
        <v>45341</v>
      </c>
      <c r="J1600" s="18" t="s">
        <v>1196</v>
      </c>
      <c r="K1600" s="18">
        <v>9865069</v>
      </c>
      <c r="L1600" s="18" t="s">
        <v>3607</v>
      </c>
      <c r="M1600" s="18" t="s">
        <v>3608</v>
      </c>
      <c r="N1600" s="16">
        <v>46176</v>
      </c>
      <c r="O1600" s="18" t="s">
        <v>1331</v>
      </c>
      <c r="P1600" s="18" t="s">
        <v>3609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3297</v>
      </c>
    </row>
    <row r="1601" spans="1:18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3610</v>
      </c>
      <c r="G1601" s="22">
        <v>100</v>
      </c>
      <c r="H1601" s="22">
        <v>1500</v>
      </c>
      <c r="I1601" s="22">
        <f t="shared" si="26"/>
        <v>1600</v>
      </c>
      <c r="J1601" s="18" t="s">
        <v>1077</v>
      </c>
      <c r="K1601" s="18" t="s">
        <v>3611</v>
      </c>
      <c r="L1601" s="18" t="s">
        <v>3612</v>
      </c>
      <c r="M1601" s="18" t="s">
        <v>3613</v>
      </c>
      <c r="N1601" s="45">
        <v>46176</v>
      </c>
      <c r="O1601" s="18" t="s">
        <v>3614</v>
      </c>
      <c r="P1601" s="18" t="s">
        <v>3615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1082</v>
      </c>
      <c r="K1602" s="18">
        <v>9865207</v>
      </c>
      <c r="L1602" s="18" t="s">
        <v>3616</v>
      </c>
      <c r="M1602" s="18" t="s">
        <v>3617</v>
      </c>
      <c r="N1602" s="16" t="s">
        <v>3604</v>
      </c>
      <c r="O1602" s="18" t="s">
        <v>3618</v>
      </c>
      <c r="P1602" s="18" t="s">
        <v>3438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>
      <c r="A1603" s="16">
        <v>46157</v>
      </c>
      <c r="B1603" s="16">
        <v>46177</v>
      </c>
      <c r="C1603" s="21" t="s">
        <v>3619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3620</v>
      </c>
      <c r="G1603" s="22">
        <v>15846.06</v>
      </c>
      <c r="H1603" s="22"/>
      <c r="I1603" s="22">
        <f t="shared" si="26"/>
        <v>15846.06</v>
      </c>
      <c r="J1603" s="18" t="s">
        <v>1196</v>
      </c>
      <c r="K1603" s="18" t="s">
        <v>3621</v>
      </c>
      <c r="L1603" s="18" t="s">
        <v>3622</v>
      </c>
      <c r="M1603" s="18" t="s">
        <v>3623</v>
      </c>
      <c r="N1603" s="16">
        <v>46178</v>
      </c>
      <c r="O1603" s="18" t="s">
        <v>2293</v>
      </c>
      <c r="P1603" s="18" t="s">
        <v>3624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3625</v>
      </c>
      <c r="G1604" s="22">
        <v>860</v>
      </c>
      <c r="H1604" s="22"/>
      <c r="I1604" s="22">
        <f t="shared" si="26"/>
        <v>860</v>
      </c>
      <c r="J1604" s="18" t="s">
        <v>1196</v>
      </c>
      <c r="K1604" s="18" t="s">
        <v>3626</v>
      </c>
      <c r="L1604" s="18" t="s">
        <v>3622</v>
      </c>
      <c r="M1604" s="18" t="s">
        <v>3623</v>
      </c>
      <c r="N1604" s="16">
        <v>46178</v>
      </c>
      <c r="O1604" s="18" t="s">
        <v>2293</v>
      </c>
      <c r="P1604" s="18" t="s">
        <v>3624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3627</v>
      </c>
      <c r="G1605" s="22">
        <v>1468.8</v>
      </c>
      <c r="H1605" s="22"/>
      <c r="I1605" s="22">
        <f t="shared" si="26"/>
        <v>1468.8</v>
      </c>
      <c r="J1605" s="18" t="s">
        <v>1196</v>
      </c>
      <c r="K1605" s="18" t="s">
        <v>3628</v>
      </c>
      <c r="L1605" s="18" t="s">
        <v>3622</v>
      </c>
      <c r="M1605" s="18" t="s">
        <v>3623</v>
      </c>
      <c r="N1605" s="16">
        <v>46178</v>
      </c>
      <c r="O1605" s="18" t="s">
        <v>2293</v>
      </c>
      <c r="P1605" s="18" t="s">
        <v>3624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3629</v>
      </c>
      <c r="G1606" s="22">
        <v>1934.24</v>
      </c>
      <c r="H1606" s="22"/>
      <c r="I1606" s="22">
        <f t="shared" si="26"/>
        <v>1934.24</v>
      </c>
      <c r="J1606" s="18" t="s">
        <v>1196</v>
      </c>
      <c r="K1606" s="18" t="s">
        <v>3630</v>
      </c>
      <c r="L1606" s="18" t="s">
        <v>3622</v>
      </c>
      <c r="M1606" s="18" t="s">
        <v>3623</v>
      </c>
      <c r="N1606" s="16">
        <v>46178</v>
      </c>
      <c r="O1606" s="18" t="s">
        <v>2293</v>
      </c>
      <c r="P1606" s="18" t="s">
        <v>3624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1196</v>
      </c>
      <c r="K1607" s="18">
        <v>9866858</v>
      </c>
      <c r="L1607" s="18">
        <v>932488</v>
      </c>
      <c r="M1607" s="18" t="s">
        <v>3631</v>
      </c>
      <c r="N1607" s="16" t="s">
        <v>3549</v>
      </c>
      <c r="O1607" s="18" t="s">
        <v>3632</v>
      </c>
      <c r="P1607" s="18" t="s">
        <v>3419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1196</v>
      </c>
      <c r="K1608" s="18">
        <v>5020792</v>
      </c>
      <c r="L1608" s="18">
        <v>933055</v>
      </c>
      <c r="M1608" s="18" t="s">
        <v>3548</v>
      </c>
      <c r="N1608" s="16" t="s">
        <v>3549</v>
      </c>
      <c r="O1608" s="18" t="s">
        <v>3550</v>
      </c>
      <c r="P1608" s="18" t="s">
        <v>3419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1196</v>
      </c>
      <c r="K1609" s="18">
        <v>5020789</v>
      </c>
      <c r="L1609" s="18">
        <v>932405</v>
      </c>
      <c r="M1609" s="18" t="s">
        <v>3633</v>
      </c>
      <c r="N1609" s="16" t="s">
        <v>3549</v>
      </c>
      <c r="O1609" s="18" t="s">
        <v>3634</v>
      </c>
      <c r="P1609" s="18" t="s">
        <v>3419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1196</v>
      </c>
      <c r="K1610" s="18">
        <v>5020793</v>
      </c>
      <c r="L1610" s="18">
        <v>933028</v>
      </c>
      <c r="M1610" s="18" t="s">
        <v>3551</v>
      </c>
      <c r="N1610" s="16" t="s">
        <v>3549</v>
      </c>
      <c r="O1610" s="18" t="s">
        <v>3552</v>
      </c>
      <c r="P1610" s="18" t="s">
        <v>3419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1196</v>
      </c>
      <c r="K1611" s="18">
        <v>9866854</v>
      </c>
      <c r="L1611" s="18">
        <v>932502</v>
      </c>
      <c r="M1611" s="18" t="s">
        <v>3635</v>
      </c>
      <c r="N1611" s="16" t="s">
        <v>3549</v>
      </c>
      <c r="O1611" s="18" t="s">
        <v>1558</v>
      </c>
      <c r="P1611" s="18" t="s">
        <v>3419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1196</v>
      </c>
      <c r="K1612" s="18">
        <v>9866855</v>
      </c>
      <c r="L1612" s="18">
        <v>932494</v>
      </c>
      <c r="M1612" s="18" t="s">
        <v>3636</v>
      </c>
      <c r="N1612" s="16" t="s">
        <v>3549</v>
      </c>
      <c r="O1612" s="18" t="s">
        <v>1767</v>
      </c>
      <c r="P1612" s="18" t="s">
        <v>3419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3637</v>
      </c>
      <c r="G1613" s="22">
        <v>486</v>
      </c>
      <c r="H1613" s="22">
        <v>713.97</v>
      </c>
      <c r="I1613" s="22">
        <f t="shared" si="26"/>
        <v>1199.97</v>
      </c>
      <c r="J1613" s="18" t="s">
        <v>1196</v>
      </c>
      <c r="K1613" s="18">
        <v>9867034</v>
      </c>
      <c r="L1613" s="18">
        <v>932784</v>
      </c>
      <c r="M1613" s="18" t="s">
        <v>3638</v>
      </c>
      <c r="N1613" s="16" t="s">
        <v>3639</v>
      </c>
      <c r="O1613" s="18" t="s">
        <v>3640</v>
      </c>
      <c r="P1613" s="18" t="s">
        <v>3523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3641</v>
      </c>
      <c r="G1614" s="22">
        <v>12795.56</v>
      </c>
      <c r="H1614" s="22"/>
      <c r="I1614" s="22">
        <f t="shared" si="26"/>
        <v>12795.56</v>
      </c>
      <c r="J1614" s="18" t="s">
        <v>1196</v>
      </c>
      <c r="K1614" s="18">
        <v>9867420</v>
      </c>
      <c r="L1614" s="18">
        <v>932844</v>
      </c>
      <c r="M1614" s="18" t="s">
        <v>3642</v>
      </c>
      <c r="N1614" s="16" t="s">
        <v>3549</v>
      </c>
      <c r="O1614" s="18" t="s">
        <v>2353</v>
      </c>
      <c r="P1614" s="18" t="s">
        <v>3270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3643</v>
      </c>
      <c r="G1615" s="22">
        <v>12790.56</v>
      </c>
      <c r="H1615" s="22"/>
      <c r="I1615" s="22">
        <f t="shared" si="26"/>
        <v>12790.56</v>
      </c>
      <c r="J1615" s="18" t="s">
        <v>1196</v>
      </c>
      <c r="K1615" s="18">
        <v>9867396</v>
      </c>
      <c r="L1615" s="18">
        <v>932874</v>
      </c>
      <c r="M1615" s="18" t="s">
        <v>3642</v>
      </c>
      <c r="N1615" s="16" t="s">
        <v>3549</v>
      </c>
      <c r="O1615" s="18" t="s">
        <v>2353</v>
      </c>
      <c r="P1615" s="18" t="s">
        <v>3270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3644</v>
      </c>
      <c r="G1616" s="22">
        <v>3080</v>
      </c>
      <c r="H1616" s="22"/>
      <c r="I1616" s="22">
        <f t="shared" si="26"/>
        <v>3080</v>
      </c>
      <c r="J1616" s="18" t="s">
        <v>1196</v>
      </c>
      <c r="K1616" s="18">
        <v>9867398</v>
      </c>
      <c r="L1616" s="18">
        <v>932874</v>
      </c>
      <c r="M1616" s="18" t="s">
        <v>3642</v>
      </c>
      <c r="N1616" s="16" t="s">
        <v>3549</v>
      </c>
      <c r="O1616" s="18" t="s">
        <v>2353</v>
      </c>
      <c r="P1616" s="18" t="s">
        <v>3270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3645</v>
      </c>
      <c r="G1617" s="22">
        <v>605.6</v>
      </c>
      <c r="H1617" s="22"/>
      <c r="I1617" s="22">
        <f t="shared" si="26"/>
        <v>605.6</v>
      </c>
      <c r="J1617" s="18" t="s">
        <v>1196</v>
      </c>
      <c r="K1617" s="18">
        <v>9837423</v>
      </c>
      <c r="L1617" s="18">
        <v>932844</v>
      </c>
      <c r="M1617" s="18" t="s">
        <v>3642</v>
      </c>
      <c r="N1617" s="16" t="s">
        <v>3549</v>
      </c>
      <c r="O1617" s="18" t="s">
        <v>2353</v>
      </c>
      <c r="P1617" s="18" t="s">
        <v>3270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>
      <c r="A1618" s="16">
        <v>46199</v>
      </c>
      <c r="B1618" s="16">
        <v>46205</v>
      </c>
      <c r="C1618" s="21">
        <v>31521032</v>
      </c>
      <c r="D1618" s="16" t="str">
        <f>IFERROR(VLOOKUP(Tabela5[[#This Row],[PREFIXO ]],Tabela4[#All],2,0),"CENTRO DE CUSTO")</f>
        <v>ADUB AUTOPROP KUHN ACCURA ST 7000</v>
      </c>
      <c r="E1618" s="18" t="s">
        <v>62</v>
      </c>
      <c r="F1618" s="21">
        <v>1457</v>
      </c>
      <c r="G1618" s="22">
        <v>1080</v>
      </c>
      <c r="H1618" s="22"/>
      <c r="I1618" s="22">
        <f t="shared" si="26"/>
        <v>1080</v>
      </c>
      <c r="J1618" s="18" t="s">
        <v>1077</v>
      </c>
      <c r="K1618" s="18" t="s">
        <v>3646</v>
      </c>
      <c r="L1618" s="18" t="s">
        <v>3647</v>
      </c>
      <c r="M1618" s="18" t="s">
        <v>3589</v>
      </c>
      <c r="N1618" s="16">
        <v>46206</v>
      </c>
      <c r="O1618" s="18" t="s">
        <v>2008</v>
      </c>
      <c r="P1618" s="18" t="s">
        <v>3590</v>
      </c>
      <c r="Q1618" s="16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>
      <c r="A1619" s="16">
        <v>46160</v>
      </c>
      <c r="B1619" s="16">
        <v>46167</v>
      </c>
      <c r="C1619" s="21">
        <v>45048035</v>
      </c>
      <c r="D1619" s="16" t="str">
        <f>IFERROR(VLOOKUP(Tabela5[[#This Row],[PREFIXO ]],Tabela4[#All],2,0),"CENTRO DE CUSTO")</f>
        <v>VAN MICROBUS FORD TRANSIT 410 B</v>
      </c>
      <c r="E1619" s="18" t="s">
        <v>124</v>
      </c>
      <c r="F1619" s="21">
        <v>580</v>
      </c>
      <c r="G1619" s="22">
        <v>2188.8000000000002</v>
      </c>
      <c r="H1619" s="22"/>
      <c r="I1619" s="22">
        <f t="shared" si="26"/>
        <v>2188.8000000000002</v>
      </c>
      <c r="J1619" s="18" t="s">
        <v>3648</v>
      </c>
      <c r="K1619" s="18">
        <v>9865384</v>
      </c>
      <c r="L1619" s="18">
        <v>933270</v>
      </c>
      <c r="M1619" s="18" t="s">
        <v>3649</v>
      </c>
      <c r="N1619" s="16" t="s">
        <v>3604</v>
      </c>
      <c r="O1619" s="18" t="s">
        <v>3650</v>
      </c>
      <c r="P1619" s="18" t="s">
        <v>3547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>
      <c r="A1620" s="16">
        <v>46202</v>
      </c>
      <c r="B1620" s="16">
        <v>46205</v>
      </c>
      <c r="C1620" s="21">
        <v>13090008</v>
      </c>
      <c r="D1620" s="16" t="str">
        <f>IFERROR(VLOOKUP(Tabela5[[#This Row],[PREFIXO ]],Tabela4[#All],2,0),"CENTRO DE CUSTO")</f>
        <v>CENTRO DE CUSTO</v>
      </c>
      <c r="E1620" s="18" t="s">
        <v>62</v>
      </c>
      <c r="F1620" s="21">
        <v>581</v>
      </c>
      <c r="G1620" s="22">
        <v>17000</v>
      </c>
      <c r="H1620" s="22"/>
      <c r="I1620" s="22">
        <f t="shared" si="26"/>
        <v>17000</v>
      </c>
      <c r="J1620" s="18" t="s">
        <v>1196</v>
      </c>
      <c r="K1620" s="18" t="s">
        <v>3651</v>
      </c>
      <c r="L1620" s="18" t="s">
        <v>3647</v>
      </c>
      <c r="M1620" s="18" t="s">
        <v>3589</v>
      </c>
      <c r="N1620" s="16">
        <v>46206</v>
      </c>
      <c r="O1620" s="18" t="s">
        <v>2008</v>
      </c>
      <c r="P1620" s="18" t="s">
        <v>3590</v>
      </c>
      <c r="Q1620" s="16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>
      <c r="A1621" s="16">
        <v>46195</v>
      </c>
      <c r="B1621" s="16">
        <v>46198</v>
      </c>
      <c r="C1621" s="21">
        <v>1173005</v>
      </c>
      <c r="D1621" s="16" t="str">
        <f>IFERROR(VLOOKUP(Tabela5[[#This Row],[PREFIXO ]],Tabela4[#All],2,0),"CENTRO DE CUSTO")</f>
        <v>TRAT PN LEVE M FERGUSON MF 275</v>
      </c>
      <c r="E1621" s="18" t="s">
        <v>312</v>
      </c>
      <c r="F1621" s="21" t="s">
        <v>2889</v>
      </c>
      <c r="G1621" s="22">
        <v>1066</v>
      </c>
      <c r="H1621" s="22"/>
      <c r="I1621" s="22">
        <f t="shared" si="26"/>
        <v>1066</v>
      </c>
      <c r="J1621" s="18" t="s">
        <v>1196</v>
      </c>
      <c r="K1621" s="18" t="s">
        <v>3652</v>
      </c>
      <c r="L1621" s="18" t="s">
        <v>3653</v>
      </c>
      <c r="M1621" s="18" t="s">
        <v>3654</v>
      </c>
      <c r="N1621" s="16">
        <v>46198</v>
      </c>
      <c r="O1621" s="18" t="s">
        <v>2497</v>
      </c>
      <c r="P1621" s="18" t="s">
        <v>3655</v>
      </c>
      <c r="Q1621" s="16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>
      <c r="A1622" s="16">
        <v>46160</v>
      </c>
      <c r="B1622" s="16">
        <v>46161</v>
      </c>
      <c r="C1622" s="21">
        <v>1151034</v>
      </c>
      <c r="D1622" s="16" t="str">
        <f>IFERROR(VLOOKUP(Tabela5[[#This Row],[PREFIXO ]],Tabela4[#All],2,0),"CENTRO DE CUSTO")</f>
        <v>TRAT PN MED M FERGUSON MF 297</v>
      </c>
      <c r="E1622" s="18" t="s">
        <v>148</v>
      </c>
      <c r="F1622" s="21">
        <v>135</v>
      </c>
      <c r="G1622" s="22">
        <v>2550</v>
      </c>
      <c r="H1622" s="22"/>
      <c r="I1622" s="22">
        <f t="shared" si="26"/>
        <v>2550</v>
      </c>
      <c r="J1622" s="18" t="s">
        <v>1196</v>
      </c>
      <c r="K1622" s="18">
        <v>9865068</v>
      </c>
      <c r="L1622" s="18">
        <v>932367</v>
      </c>
      <c r="M1622" s="18" t="s">
        <v>3656</v>
      </c>
      <c r="N1622" s="16" t="s">
        <v>3573</v>
      </c>
      <c r="O1622" s="18" t="s">
        <v>2416</v>
      </c>
      <c r="P1622" s="18" t="s">
        <v>3549</v>
      </c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CONCLUÍDO</v>
      </c>
      <c r="R1622" s="36"/>
    </row>
    <row r="1623" spans="1:18">
      <c r="A1623" s="16">
        <v>46160</v>
      </c>
      <c r="B1623" s="16">
        <v>46161</v>
      </c>
      <c r="C1623" s="21">
        <v>500580579</v>
      </c>
      <c r="D1623" s="16" t="str">
        <f>IFERROR(VLOOKUP(Tabela5[[#This Row],[PREFIXO ]],Tabela4[#All],2,0),"CENTRO DE CUSTO")</f>
        <v>Pátio de Vendas</v>
      </c>
      <c r="E1623" s="18" t="s">
        <v>224</v>
      </c>
      <c r="F1623" s="21">
        <v>2672</v>
      </c>
      <c r="G1623" s="22">
        <v>1550</v>
      </c>
      <c r="H1623" s="22"/>
      <c r="I1623" s="22">
        <f t="shared" si="26"/>
        <v>1550</v>
      </c>
      <c r="J1623" s="18" t="s">
        <v>3657</v>
      </c>
      <c r="K1623" s="18">
        <v>5020786</v>
      </c>
      <c r="L1623" s="18" t="s">
        <v>3658</v>
      </c>
      <c r="M1623" s="18" t="s">
        <v>3659</v>
      </c>
      <c r="N1623" s="16">
        <v>46183</v>
      </c>
      <c r="O1623" s="18" t="s">
        <v>3660</v>
      </c>
      <c r="P1623" s="18" t="s">
        <v>3494</v>
      </c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CONCLUÍDO</v>
      </c>
      <c r="R1623" s="36"/>
    </row>
    <row r="1624" spans="1:18">
      <c r="A1624" s="16">
        <v>46160</v>
      </c>
      <c r="B1624" s="16">
        <v>46167</v>
      </c>
      <c r="C1624" s="21" t="s">
        <v>3661</v>
      </c>
      <c r="D1624" s="16" t="str">
        <f>IFERROR(VLOOKUP(Tabela5[[#This Row],[PREFIXO ]],Tabela4[#All],2,0),"CENTRO DE CUSTO")</f>
        <v>CENTRO DE CUSTO</v>
      </c>
      <c r="E1624" s="18" t="s">
        <v>259</v>
      </c>
      <c r="F1624" s="21" t="s">
        <v>3662</v>
      </c>
      <c r="G1624" s="22">
        <v>48000</v>
      </c>
      <c r="H1624" s="22"/>
      <c r="I1624" s="22">
        <f t="shared" si="26"/>
        <v>48000</v>
      </c>
      <c r="J1624" s="18" t="s">
        <v>1196</v>
      </c>
      <c r="K1624" s="18" t="s">
        <v>3663</v>
      </c>
      <c r="L1624" s="18">
        <v>933136</v>
      </c>
      <c r="M1624" s="18" t="s">
        <v>3664</v>
      </c>
      <c r="N1624" s="16" t="s">
        <v>3604</v>
      </c>
      <c r="O1624" s="18" t="s">
        <v>3665</v>
      </c>
      <c r="P1624" s="18" t="s">
        <v>3430</v>
      </c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CONCLUÍDO</v>
      </c>
      <c r="R1624" s="36"/>
    </row>
    <row r="1625" spans="1:18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1120</v>
      </c>
      <c r="K1625" s="18">
        <v>9868033</v>
      </c>
      <c r="L1625" s="18">
        <v>936998</v>
      </c>
      <c r="M1625" s="18" t="s">
        <v>3666</v>
      </c>
      <c r="N1625" s="16" t="s">
        <v>3604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1120</v>
      </c>
      <c r="K1626" s="18">
        <v>9868032</v>
      </c>
      <c r="L1626" s="18">
        <v>937015</v>
      </c>
      <c r="M1626" s="18" t="s">
        <v>3669</v>
      </c>
      <c r="N1626" s="16" t="s">
        <v>3604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1120</v>
      </c>
      <c r="K1627" s="18">
        <v>9868029</v>
      </c>
      <c r="L1627" s="18">
        <v>937012</v>
      </c>
      <c r="M1627" s="18" t="s">
        <v>3671</v>
      </c>
      <c r="N1627" s="16" t="s">
        <v>3604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1077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3297</v>
      </c>
    </row>
    <row r="1629" spans="1:18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3481</v>
      </c>
      <c r="K1629" s="18">
        <v>9869164</v>
      </c>
      <c r="L1629" s="18">
        <v>936464</v>
      </c>
      <c r="M1629" s="18" t="s">
        <v>3678</v>
      </c>
      <c r="N1629" s="16" t="s">
        <v>3639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3481</v>
      </c>
      <c r="K1630" s="18">
        <v>9869166</v>
      </c>
      <c r="L1630" s="18">
        <v>935876</v>
      </c>
      <c r="M1630" s="18" t="s">
        <v>3681</v>
      </c>
      <c r="N1630" s="16" t="s">
        <v>3639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3481</v>
      </c>
      <c r="K1631" s="18">
        <v>9869169</v>
      </c>
      <c r="L1631" s="18">
        <v>936937</v>
      </c>
      <c r="M1631" s="18" t="s">
        <v>3683</v>
      </c>
      <c r="N1631" s="16" t="s">
        <v>3604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3481</v>
      </c>
      <c r="K1632" s="18">
        <v>9869171</v>
      </c>
      <c r="L1632" s="18">
        <v>936962</v>
      </c>
      <c r="M1632" s="18" t="s">
        <v>3685</v>
      </c>
      <c r="N1632" s="16" t="s">
        <v>3604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3481</v>
      </c>
      <c r="K1633" s="18">
        <v>9869168</v>
      </c>
      <c r="L1633" s="18">
        <v>935880</v>
      </c>
      <c r="M1633" s="18" t="s">
        <v>3687</v>
      </c>
      <c r="N1633" s="16" t="s">
        <v>3639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3481</v>
      </c>
      <c r="K1634" s="18">
        <v>9869170</v>
      </c>
      <c r="L1634" s="18">
        <v>935750</v>
      </c>
      <c r="M1634" s="18" t="s">
        <v>3689</v>
      </c>
      <c r="N1634" s="16" t="s">
        <v>3639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3481</v>
      </c>
      <c r="K1635" s="18">
        <v>9869162</v>
      </c>
      <c r="L1635" s="18">
        <v>935883</v>
      </c>
      <c r="M1635" s="18" t="s">
        <v>3691</v>
      </c>
      <c r="N1635" s="16" t="s">
        <v>3639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3657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1196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3438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1082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3494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1082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>
      <c r="A1640" s="16">
        <v>46195</v>
      </c>
      <c r="B1640" s="16">
        <v>46198</v>
      </c>
      <c r="C1640" s="21">
        <v>11521037</v>
      </c>
      <c r="D1640" s="16" t="str">
        <f>IFERROR(VLOOKUP(Tabela5[[#This Row],[PREFIXO ]],Tabela4[#All],2,0),"CENTRO DE CUSTO")</f>
        <v>TRAT PN EXT PES N.HOLLAND T9.600</v>
      </c>
      <c r="E1640" s="18" t="s">
        <v>312</v>
      </c>
      <c r="F1640" s="21" t="s">
        <v>2882</v>
      </c>
      <c r="G1640" s="22">
        <v>1601.95</v>
      </c>
      <c r="H1640" s="22"/>
      <c r="I1640" s="22">
        <f t="shared" si="26"/>
        <v>1601.95</v>
      </c>
      <c r="J1640" s="18" t="s">
        <v>1196</v>
      </c>
      <c r="K1640" s="18" t="s">
        <v>3708</v>
      </c>
      <c r="L1640" s="18" t="s">
        <v>3653</v>
      </c>
      <c r="M1640" s="18" t="s">
        <v>3654</v>
      </c>
      <c r="N1640" s="16">
        <v>46198</v>
      </c>
      <c r="O1640" s="18" t="s">
        <v>2497</v>
      </c>
      <c r="P1640" s="18" t="s">
        <v>3655</v>
      </c>
      <c r="Q1640" s="16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>
      <c r="A1641" s="16">
        <v>46163</v>
      </c>
      <c r="B1641" s="16">
        <v>46167</v>
      </c>
      <c r="C1641" s="21">
        <v>900258</v>
      </c>
      <c r="D1641" s="16" t="str">
        <f>IFERROR(VLOOKUP(Tabela5[[#This Row],[PREFIXO ]],Tabela4[#All],2,0),"CENTRO DE CUSTO")</f>
        <v>PRENSA HIDRAULICA 150 TON</v>
      </c>
      <c r="E1641" s="18" t="s">
        <v>96</v>
      </c>
      <c r="F1641" s="21" t="s">
        <v>3709</v>
      </c>
      <c r="G1641" s="22">
        <v>100</v>
      </c>
      <c r="H1641" s="22">
        <v>1000</v>
      </c>
      <c r="I1641" s="22">
        <f t="shared" si="26"/>
        <v>1100</v>
      </c>
      <c r="J1641" s="18" t="s">
        <v>1077</v>
      </c>
      <c r="K1641" s="18">
        <v>9869850</v>
      </c>
      <c r="L1641" s="18">
        <v>935903</v>
      </c>
      <c r="M1641" s="18" t="s">
        <v>3710</v>
      </c>
      <c r="N1641" s="16" t="s">
        <v>3604</v>
      </c>
      <c r="O1641" s="18" t="s">
        <v>3711</v>
      </c>
      <c r="P1641" s="18" t="s">
        <v>3140</v>
      </c>
      <c r="Q1641" s="29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>
      <c r="A1642" s="16">
        <v>46163</v>
      </c>
      <c r="B1642" s="16">
        <v>46169</v>
      </c>
      <c r="C1642" s="21">
        <v>1173059</v>
      </c>
      <c r="D1642" s="16" t="str">
        <f>IFERROR(VLOOKUP(Tabela5[[#This Row],[PREFIXO ]],Tabela4[#All],2,0),"CENTRO DE CUSTO")</f>
        <v>TRAT PN MED M FERGUSON MF 297</v>
      </c>
      <c r="E1642" s="18" t="s">
        <v>96</v>
      </c>
      <c r="F1642" s="21" t="s">
        <v>3712</v>
      </c>
      <c r="G1642" s="22">
        <v>270</v>
      </c>
      <c r="H1642" s="22">
        <v>94.11</v>
      </c>
      <c r="I1642" s="22">
        <f t="shared" si="26"/>
        <v>364.11</v>
      </c>
      <c r="J1642" s="18" t="s">
        <v>1196</v>
      </c>
      <c r="K1642" s="18" t="s">
        <v>3713</v>
      </c>
      <c r="L1642" s="18" t="s">
        <v>3714</v>
      </c>
      <c r="M1642" s="18" t="s">
        <v>3613</v>
      </c>
      <c r="N1642" s="16" t="s">
        <v>3715</v>
      </c>
      <c r="O1642" s="18" t="s">
        <v>3614</v>
      </c>
      <c r="P1642" s="18" t="s">
        <v>3615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>
      <c r="A1643" s="16">
        <v>46163</v>
      </c>
      <c r="B1643" s="16">
        <v>46169</v>
      </c>
      <c r="C1643" s="21">
        <v>11521004</v>
      </c>
      <c r="D1643" s="16" t="str">
        <f>IFERROR(VLOOKUP(Tabela5[[#This Row],[PREFIXO ]],Tabela4[#All],2,0),"CENTRO DE CUSTO")</f>
        <v>TRAT PN EXT PES CASE STEIGER 620</v>
      </c>
      <c r="E1643" s="18" t="s">
        <v>71</v>
      </c>
      <c r="F1643" s="21">
        <v>7780</v>
      </c>
      <c r="G1643" s="22">
        <v>5500</v>
      </c>
      <c r="H1643" s="22">
        <v>8975.08</v>
      </c>
      <c r="I1643" s="22">
        <f t="shared" si="26"/>
        <v>14475.08</v>
      </c>
      <c r="J1643" s="18" t="s">
        <v>1196</v>
      </c>
      <c r="K1643" s="18" t="s">
        <v>3716</v>
      </c>
      <c r="L1643" s="18" t="s">
        <v>3717</v>
      </c>
      <c r="M1643" s="18" t="s">
        <v>3718</v>
      </c>
      <c r="N1643" s="16" t="s">
        <v>3715</v>
      </c>
      <c r="O1643" s="18" t="s">
        <v>3719</v>
      </c>
      <c r="P1643" s="18" t="s">
        <v>3523</v>
      </c>
      <c r="Q1643" s="16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>
      <c r="A1644" s="16">
        <v>46163</v>
      </c>
      <c r="B1644" s="16">
        <v>46164</v>
      </c>
      <c r="C1644" s="21">
        <v>15690001</v>
      </c>
      <c r="D1644" s="16" t="str">
        <f>IFERROR(VLOOKUP(Tabela5[[#This Row],[PREFIXO ]],Tabela4[#All],2,0),"CENTRO DE CUSTO")</f>
        <v>COLHE FORRAGEM CASALE CRC-180 AP</v>
      </c>
      <c r="E1644" s="18" t="s">
        <v>218</v>
      </c>
      <c r="F1644" s="21">
        <v>26768</v>
      </c>
      <c r="G1644" s="22">
        <v>962</v>
      </c>
      <c r="H1644" s="22">
        <v>291.81</v>
      </c>
      <c r="I1644" s="22">
        <f t="shared" si="26"/>
        <v>1253.81</v>
      </c>
      <c r="J1644" s="18" t="s">
        <v>1196</v>
      </c>
      <c r="K1644" s="18">
        <v>9869224</v>
      </c>
      <c r="L1644" s="18">
        <v>935667</v>
      </c>
      <c r="M1644" s="18" t="s">
        <v>3720</v>
      </c>
      <c r="N1644" s="16" t="s">
        <v>3270</v>
      </c>
      <c r="O1644" s="18" t="s">
        <v>3721</v>
      </c>
      <c r="P1644" s="18" t="s">
        <v>3722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>
      <c r="A1645" s="16">
        <v>46163</v>
      </c>
      <c r="B1645" s="16">
        <v>46204</v>
      </c>
      <c r="C1645" s="21">
        <v>61521043</v>
      </c>
      <c r="D1645" s="16" t="str">
        <f>IFERROR(VLOOKUP(Tabela5[[#This Row],[PREFIXO ]],Tabela4[#All],2,0),"CENTRO DE CUSTO")</f>
        <v>ONIB RODOVIÁRIO MASCARELLO GRAN MIDI</v>
      </c>
      <c r="E1645" s="18" t="s">
        <v>247</v>
      </c>
      <c r="F1645" s="21">
        <v>135950</v>
      </c>
      <c r="G1645" s="22">
        <v>1691</v>
      </c>
      <c r="H1645" s="22">
        <v>2925.01</v>
      </c>
      <c r="I1645" s="22">
        <f t="shared" si="26"/>
        <v>4616.01</v>
      </c>
      <c r="J1645" s="18" t="s">
        <v>1082</v>
      </c>
      <c r="K1645" s="18">
        <v>9869857</v>
      </c>
      <c r="L1645" s="18" t="s">
        <v>3723</v>
      </c>
      <c r="M1645" s="18" t="s">
        <v>3724</v>
      </c>
      <c r="N1645" s="16">
        <v>46205</v>
      </c>
      <c r="O1645" s="18" t="s">
        <v>3725</v>
      </c>
      <c r="P1645" s="18" t="s">
        <v>3726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>
      <c r="A1646" s="16">
        <v>46163</v>
      </c>
      <c r="B1646" s="16">
        <v>46164</v>
      </c>
      <c r="C1646" s="21" t="s">
        <v>3727</v>
      </c>
      <c r="D1646" s="16" t="str">
        <f>IFERROR(VLOOKUP(Tabela5[[#This Row],[PREFIXO ]],Tabela4[#All],2,0),"CENTRO DE CUSTO")</f>
        <v>CENTRO DE CUSTO</v>
      </c>
      <c r="E1646" s="18" t="s">
        <v>249</v>
      </c>
      <c r="F1646" s="21">
        <v>242</v>
      </c>
      <c r="G1646" s="22">
        <v>8263</v>
      </c>
      <c r="H1646" s="22"/>
      <c r="I1646" s="22">
        <f t="shared" si="26"/>
        <v>8263</v>
      </c>
      <c r="J1646" s="18" t="s">
        <v>1196</v>
      </c>
      <c r="K1646" s="18"/>
      <c r="L1646" s="18" t="s">
        <v>3728</v>
      </c>
      <c r="M1646" s="18" t="s">
        <v>3729</v>
      </c>
      <c r="N1646" s="16">
        <v>46167</v>
      </c>
      <c r="O1646" s="18" t="s">
        <v>3041</v>
      </c>
      <c r="P1646" s="18" t="s">
        <v>3707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>
      <c r="A1647" s="16">
        <v>46163</v>
      </c>
      <c r="B1647" s="16">
        <v>46167</v>
      </c>
      <c r="C1647" s="21">
        <v>11521030</v>
      </c>
      <c r="D1647" s="16" t="str">
        <f>IFERROR(VLOOKUP(Tabela5[[#This Row],[PREFIXO ]],Tabela4[#All],2,0),"CENTRO DE CUSTO")</f>
        <v>TRAT PN EXT PES FENDT 1046 VARIO</v>
      </c>
      <c r="E1647" s="18" t="s">
        <v>259</v>
      </c>
      <c r="F1647" s="21" t="s">
        <v>3730</v>
      </c>
      <c r="G1647" s="22">
        <v>50.01</v>
      </c>
      <c r="H1647" s="22">
        <v>9082.26</v>
      </c>
      <c r="I1647" s="22">
        <f t="shared" si="26"/>
        <v>9132.27</v>
      </c>
      <c r="J1647" s="18" t="s">
        <v>1196</v>
      </c>
      <c r="K1647" s="18">
        <v>9869079</v>
      </c>
      <c r="L1647" s="18">
        <v>934398</v>
      </c>
      <c r="M1647" s="18" t="s">
        <v>3731</v>
      </c>
      <c r="N1647" s="16" t="s">
        <v>3639</v>
      </c>
      <c r="O1647" s="18" t="s">
        <v>3732</v>
      </c>
      <c r="P1647" s="18" t="s">
        <v>3733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>
      <c r="A1648" s="16">
        <v>46163</v>
      </c>
      <c r="B1648" s="16">
        <v>46167</v>
      </c>
      <c r="C1648" s="21">
        <v>15048016</v>
      </c>
      <c r="D1648" s="16" t="str">
        <f>IFERROR(VLOOKUP(Tabela5[[#This Row],[PREFIXO ]],Tabela4[#All],2,0),"CENTRO DE CUSTO")</f>
        <v>TRAT PN EXT PES FENDT VARIO 1050</v>
      </c>
      <c r="E1648" s="18" t="s">
        <v>259</v>
      </c>
      <c r="F1648" s="21" t="s">
        <v>3734</v>
      </c>
      <c r="G1648" s="22">
        <v>49.99</v>
      </c>
      <c r="H1648" s="22">
        <v>4852.4399999999996</v>
      </c>
      <c r="I1648" s="22">
        <f t="shared" si="26"/>
        <v>4902.4299999999994</v>
      </c>
      <c r="J1648" s="18" t="s">
        <v>1196</v>
      </c>
      <c r="K1648" s="18">
        <v>9869160</v>
      </c>
      <c r="L1648" s="18">
        <v>935623</v>
      </c>
      <c r="M1648" s="18" t="s">
        <v>3735</v>
      </c>
      <c r="N1648" s="16" t="s">
        <v>3639</v>
      </c>
      <c r="O1648" s="18" t="s">
        <v>3736</v>
      </c>
      <c r="P1648" s="18" t="s">
        <v>3737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>
      <c r="A1649" s="16">
        <v>46163</v>
      </c>
      <c r="B1649" s="16">
        <v>46167</v>
      </c>
      <c r="C1649" s="21">
        <v>11521031</v>
      </c>
      <c r="D1649" s="16" t="str">
        <f>IFERROR(VLOOKUP(Tabela5[[#This Row],[PREFIXO ]],Tabela4[#All],2,0),"CENTRO DE CUSTO")</f>
        <v>TRAT PN EXT PES FENDT 1046 VARIO</v>
      </c>
      <c r="E1649" s="18" t="s">
        <v>259</v>
      </c>
      <c r="F1649" s="21" t="s">
        <v>3738</v>
      </c>
      <c r="G1649" s="22">
        <v>50.43</v>
      </c>
      <c r="H1649" s="22">
        <v>3663.26</v>
      </c>
      <c r="I1649" s="22">
        <f t="shared" si="26"/>
        <v>3713.69</v>
      </c>
      <c r="J1649" s="18" t="s">
        <v>1196</v>
      </c>
      <c r="K1649" s="18">
        <v>9869078</v>
      </c>
      <c r="L1649" s="18">
        <v>935599</v>
      </c>
      <c r="M1649" s="18" t="s">
        <v>3739</v>
      </c>
      <c r="N1649" s="16" t="s">
        <v>3639</v>
      </c>
      <c r="O1649" s="18" t="s">
        <v>3740</v>
      </c>
      <c r="P1649" s="18" t="s">
        <v>3741</v>
      </c>
      <c r="Q1649" s="29" t="str" cm="1">
        <f t="array" ref="Q1649">_xlfn.IFS(
A1649="","",
AND(A1649&lt;&gt;"",B1649=""),"FALTA LANÇAMENTO",
AND(B1649&lt;&gt;"",M1649=""),"FALTA O PEDIDO",
AND(M1649&lt;&gt;"",O1649=""),"FALTA NF",
O1649&lt;&gt;"","CONCLUÍDO")</f>
        <v>CONCLUÍDO</v>
      </c>
      <c r="R1649" s="36"/>
    </row>
    <row r="1650" spans="1:18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1077</v>
      </c>
      <c r="K1650" s="18" t="s">
        <v>3742</v>
      </c>
      <c r="L1650" s="18" t="s">
        <v>3743</v>
      </c>
      <c r="M1650" s="18" t="s">
        <v>3744</v>
      </c>
      <c r="N1650" s="16">
        <v>46170</v>
      </c>
      <c r="O1650" s="18" t="s">
        <v>3745</v>
      </c>
      <c r="P1650" s="18" t="s">
        <v>3746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2895</v>
      </c>
      <c r="K1651" s="18" t="s">
        <v>3747</v>
      </c>
      <c r="L1651" s="18" t="s">
        <v>3748</v>
      </c>
      <c r="M1651" s="18" t="s">
        <v>3749</v>
      </c>
      <c r="N1651" s="16" t="s">
        <v>3715</v>
      </c>
      <c r="O1651" s="18" t="s">
        <v>3750</v>
      </c>
      <c r="P1651" s="18" t="s">
        <v>3438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3751</v>
      </c>
      <c r="G1652" s="22">
        <v>441</v>
      </c>
      <c r="H1652" s="22">
        <v>857.29</v>
      </c>
      <c r="I1652" s="22">
        <f t="shared" si="26"/>
        <v>1298.29</v>
      </c>
      <c r="J1652" s="18" t="s">
        <v>1196</v>
      </c>
      <c r="K1652" s="18">
        <v>9871664</v>
      </c>
      <c r="L1652" s="18" t="s">
        <v>3752</v>
      </c>
      <c r="M1652" s="18" t="s">
        <v>3753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>
      <c r="A1653" s="16">
        <v>46195</v>
      </c>
      <c r="B1653" s="16">
        <v>46198</v>
      </c>
      <c r="C1653" s="21">
        <v>1173114</v>
      </c>
      <c r="D1653" s="16" t="str">
        <f>IFERROR(VLOOKUP(Tabela5[[#This Row],[PREFIXO ]],Tabela4[#All],2,0),"CENTRO DE CUSTO")</f>
        <v>CENTRO DE CUSTO</v>
      </c>
      <c r="E1653" s="18" t="s">
        <v>312</v>
      </c>
      <c r="F1653" s="21" t="s">
        <v>2880</v>
      </c>
      <c r="G1653" s="22">
        <v>1350</v>
      </c>
      <c r="H1653" s="22"/>
      <c r="I1653" s="22">
        <f t="shared" si="26"/>
        <v>1350</v>
      </c>
      <c r="J1653" s="18" t="s">
        <v>1196</v>
      </c>
      <c r="K1653" s="18" t="s">
        <v>3754</v>
      </c>
      <c r="L1653" s="18" t="s">
        <v>3653</v>
      </c>
      <c r="M1653" s="18" t="s">
        <v>3654</v>
      </c>
      <c r="N1653" s="16">
        <v>46198</v>
      </c>
      <c r="O1653" s="18" t="s">
        <v>2497</v>
      </c>
      <c r="P1653" s="18" t="s">
        <v>3655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>
      <c r="A1654" s="16">
        <v>46195</v>
      </c>
      <c r="B1654" s="16">
        <v>46198</v>
      </c>
      <c r="C1654" s="21">
        <v>8181121</v>
      </c>
      <c r="D1654" s="16" t="str">
        <f>IFERROR(VLOOKUP(Tabela5[[#This Row],[PREFIXO ]],Tabela4[#All],2,0),"CENTRO DE CUSTO")</f>
        <v>SULCADOR POWER 4,5 540RPM</v>
      </c>
      <c r="E1654" s="18" t="s">
        <v>312</v>
      </c>
      <c r="F1654" s="21" t="s">
        <v>2762</v>
      </c>
      <c r="G1654" s="22">
        <v>1338</v>
      </c>
      <c r="H1654" s="22"/>
      <c r="I1654" s="22">
        <f t="shared" si="26"/>
        <v>1338</v>
      </c>
      <c r="J1654" s="18" t="s">
        <v>1196</v>
      </c>
      <c r="K1654" s="18" t="s">
        <v>3755</v>
      </c>
      <c r="L1654" s="18" t="s">
        <v>3653</v>
      </c>
      <c r="M1654" s="18" t="s">
        <v>3654</v>
      </c>
      <c r="N1654" s="16">
        <v>46198</v>
      </c>
      <c r="O1654" s="18" t="s">
        <v>2497</v>
      </c>
      <c r="P1654" s="18" t="s">
        <v>3655</v>
      </c>
      <c r="Q1654" s="16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34</v>
      </c>
      <c r="G1655" s="22">
        <v>21200</v>
      </c>
      <c r="H1655" s="22"/>
      <c r="I1655" s="22">
        <f t="shared" si="26"/>
        <v>21200</v>
      </c>
      <c r="J1655" s="18" t="s">
        <v>1196</v>
      </c>
      <c r="K1655" s="18">
        <v>9873894</v>
      </c>
      <c r="L1655" s="18" t="s">
        <v>3756</v>
      </c>
      <c r="M1655" s="18" t="s">
        <v>3757</v>
      </c>
      <c r="N1655" s="16">
        <v>46176</v>
      </c>
      <c r="O1655" s="18" t="s">
        <v>3758</v>
      </c>
      <c r="P1655" s="18" t="s">
        <v>3759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>
      <c r="A1656" s="16">
        <v>46168</v>
      </c>
      <c r="B1656" s="16">
        <v>46175</v>
      </c>
      <c r="C1656" s="21">
        <v>18010002</v>
      </c>
      <c r="D1656" s="16" t="str">
        <f>IFERROR(VLOOKUP(Tabela5[[#This Row],[PREFIXO ]],Tabela4[#All],2,0),"CENTRO DE CUSTO")</f>
        <v>AVIAO APLIC AGR AIR TRACT AT-802A</v>
      </c>
      <c r="E1656" s="18" t="s">
        <v>13</v>
      </c>
      <c r="F1656" s="21">
        <v>41</v>
      </c>
      <c r="G1656" s="22">
        <v>18200</v>
      </c>
      <c r="H1656" s="22"/>
      <c r="I1656" s="22">
        <f t="shared" si="26"/>
        <v>18200</v>
      </c>
      <c r="J1656" s="18" t="s">
        <v>1196</v>
      </c>
      <c r="K1656" s="18">
        <v>9873897</v>
      </c>
      <c r="L1656" s="18" t="s">
        <v>3756</v>
      </c>
      <c r="M1656" s="18" t="s">
        <v>3757</v>
      </c>
      <c r="N1656" s="16">
        <v>46176</v>
      </c>
      <c r="O1656" s="18" t="s">
        <v>3758</v>
      </c>
      <c r="P1656" s="18" t="s">
        <v>3759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>
      <c r="A1657" s="16">
        <v>46169</v>
      </c>
      <c r="B1657" s="16">
        <v>46175</v>
      </c>
      <c r="C1657" s="21">
        <v>43150004</v>
      </c>
      <c r="D1657" s="16" t="str">
        <f>IFERROR(VLOOKUP(Tabela5[[#This Row],[PREFIXO ]],Tabela4[#All],2,0),"CENTRO DE CUSTO")</f>
        <v>ADUB AUTOPROP JOHN DEERE 400R DN</v>
      </c>
      <c r="E1657" s="18" t="s">
        <v>17</v>
      </c>
      <c r="F1657" s="21">
        <v>44395</v>
      </c>
      <c r="G1657" s="22">
        <v>906.11</v>
      </c>
      <c r="H1657" s="22">
        <v>51.09</v>
      </c>
      <c r="I1657" s="22">
        <f t="shared" si="26"/>
        <v>957.2</v>
      </c>
      <c r="J1657" s="18" t="s">
        <v>1077</v>
      </c>
      <c r="K1657" s="18" t="s">
        <v>3760</v>
      </c>
      <c r="L1657" s="18" t="s">
        <v>3761</v>
      </c>
      <c r="M1657" s="18" t="s">
        <v>3762</v>
      </c>
      <c r="N1657" s="16" t="s">
        <v>3430</v>
      </c>
      <c r="O1657" s="18" t="s">
        <v>3763</v>
      </c>
      <c r="P1657" s="18" t="s">
        <v>3624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>
      <c r="A1658" s="16">
        <v>46169</v>
      </c>
      <c r="B1658" s="16">
        <v>46181</v>
      </c>
      <c r="C1658" s="21">
        <v>61521002</v>
      </c>
      <c r="D1658" s="16" t="str">
        <f>IFERROR(VLOOKUP(Tabela5[[#This Row],[PREFIXO ]],Tabela4[#All],2,0),"CENTRO DE CUSTO")</f>
        <v>ONIB COLETIVO VW 17230 CAIO APACH</v>
      </c>
      <c r="E1658" s="18" t="s">
        <v>29</v>
      </c>
      <c r="F1658" s="21">
        <v>55549</v>
      </c>
      <c r="G1658" s="22">
        <v>7494</v>
      </c>
      <c r="H1658" s="22">
        <v>12889.11</v>
      </c>
      <c r="I1658" s="22">
        <f t="shared" si="26"/>
        <v>20383.11</v>
      </c>
      <c r="J1658" s="18" t="s">
        <v>1082</v>
      </c>
      <c r="K1658" s="18" t="s">
        <v>3764</v>
      </c>
      <c r="L1658" s="18" t="s">
        <v>3765</v>
      </c>
      <c r="M1658" s="18">
        <v>41884256</v>
      </c>
      <c r="N1658" s="16">
        <v>46182</v>
      </c>
      <c r="O1658" s="18" t="s">
        <v>3766</v>
      </c>
      <c r="P1658" s="18" t="s">
        <v>3680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>
      <c r="A1659" s="16">
        <v>46169</v>
      </c>
      <c r="B1659" s="16">
        <v>46170</v>
      </c>
      <c r="C1659" s="21">
        <v>5173120</v>
      </c>
      <c r="D1659" s="16" t="str">
        <f>IFERROR(VLOOKUP(Tabela5[[#This Row],[PREFIXO ]],Tabela4[#All],2,0),"CENTRO DE CUSTO")</f>
        <v>COLHED ALGODÃO JOHN DEERE 7760</v>
      </c>
      <c r="E1659" s="18" t="s">
        <v>49</v>
      </c>
      <c r="F1659" s="21" t="s">
        <v>2035</v>
      </c>
      <c r="G1659" s="22">
        <v>4697</v>
      </c>
      <c r="H1659" s="22"/>
      <c r="I1659" s="22">
        <f t="shared" si="26"/>
        <v>4697</v>
      </c>
      <c r="J1659" s="18" t="s">
        <v>1120</v>
      </c>
      <c r="K1659" s="18" t="s">
        <v>3767</v>
      </c>
      <c r="L1659" s="18" t="s">
        <v>3768</v>
      </c>
      <c r="M1659" s="18" t="s">
        <v>3769</v>
      </c>
      <c r="N1659" s="16" t="s">
        <v>3436</v>
      </c>
      <c r="O1659" s="18" t="s">
        <v>3770</v>
      </c>
      <c r="P1659" s="18" t="s">
        <v>3419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>
      <c r="A1660" s="16">
        <v>46169</v>
      </c>
      <c r="B1660" s="16">
        <v>46170</v>
      </c>
      <c r="C1660" s="21">
        <v>51521054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3162</v>
      </c>
      <c r="G1660" s="22">
        <v>8119</v>
      </c>
      <c r="H1660" s="22"/>
      <c r="I1660" s="22">
        <v>3616</v>
      </c>
      <c r="J1660" s="18" t="s">
        <v>1120</v>
      </c>
      <c r="K1660" s="18" t="s">
        <v>3771</v>
      </c>
      <c r="L1660" s="18" t="s">
        <v>3768</v>
      </c>
      <c r="M1660" s="18" t="s">
        <v>3769</v>
      </c>
      <c r="N1660" s="16" t="s">
        <v>3436</v>
      </c>
      <c r="O1660" s="18" t="s">
        <v>3770</v>
      </c>
      <c r="P1660" s="18" t="s">
        <v>3419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>
      <c r="A1661" s="16">
        <v>46169</v>
      </c>
      <c r="B1661" s="16">
        <v>46170</v>
      </c>
      <c r="C1661" s="21">
        <v>51521055</v>
      </c>
      <c r="D1661" s="16" t="str">
        <f>IFERROR(VLOOKUP(Tabela5[[#This Row],[PREFIXO ]],Tabela4[#All],2,0),"CENTRO DE CUSTO")</f>
        <v>COLHED ALGODÃO JOHN DEERE CP 690</v>
      </c>
      <c r="E1661" s="18" t="s">
        <v>49</v>
      </c>
      <c r="F1661" s="21" t="s">
        <v>3015</v>
      </c>
      <c r="G1661" s="22">
        <v>3508</v>
      </c>
      <c r="H1661" s="22"/>
      <c r="I1661" s="22">
        <f t="shared" ref="I1661:I1724" si="27">G1661+H1661</f>
        <v>3508</v>
      </c>
      <c r="J1661" s="18" t="s">
        <v>1120</v>
      </c>
      <c r="K1661" s="18" t="s">
        <v>3772</v>
      </c>
      <c r="L1661" s="18" t="s">
        <v>3768</v>
      </c>
      <c r="M1661" s="18" t="s">
        <v>3769</v>
      </c>
      <c r="N1661" s="16" t="s">
        <v>3436</v>
      </c>
      <c r="O1661" s="18" t="s">
        <v>3770</v>
      </c>
      <c r="P1661" s="18" t="s">
        <v>3419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>
      <c r="A1662" s="16">
        <v>46169</v>
      </c>
      <c r="B1662" s="16">
        <v>46170</v>
      </c>
      <c r="C1662" s="21">
        <v>51521028</v>
      </c>
      <c r="D1662" s="16" t="str">
        <f>IFERROR(VLOOKUP(Tabela5[[#This Row],[PREFIXO ]],Tabela4[#All],2,0),"CENTRO DE CUSTO")</f>
        <v>COLHEIT DE GRÃOS JOHN DEERE S 680</v>
      </c>
      <c r="E1662" s="18" t="s">
        <v>49</v>
      </c>
      <c r="F1662" s="21" t="s">
        <v>2889</v>
      </c>
      <c r="G1662" s="22">
        <v>2050</v>
      </c>
      <c r="H1662" s="22"/>
      <c r="I1662" s="22">
        <f t="shared" si="27"/>
        <v>2050</v>
      </c>
      <c r="J1662" s="18" t="s">
        <v>1120</v>
      </c>
      <c r="K1662" s="18" t="s">
        <v>3773</v>
      </c>
      <c r="L1662" s="18" t="s">
        <v>3768</v>
      </c>
      <c r="M1662" s="18" t="s">
        <v>3769</v>
      </c>
      <c r="N1662" s="16" t="s">
        <v>3436</v>
      </c>
      <c r="O1662" s="18" t="s">
        <v>3770</v>
      </c>
      <c r="P1662" s="18" t="s">
        <v>3419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>
      <c r="A1663" s="16">
        <v>46169</v>
      </c>
      <c r="B1663" s="16">
        <v>46175</v>
      </c>
      <c r="C1663" s="21">
        <v>71521002</v>
      </c>
      <c r="D1663" s="16" t="str">
        <f>IFERROR(VLOOKUP(Tabela5[[#This Row],[PREFIXO ]],Tabela4[#All],2,0),"CENTRO DE CUSTO")</f>
        <v>CORTADOR DE GRAMA GIRO ZERO MZ54</v>
      </c>
      <c r="E1663" s="18" t="s">
        <v>62</v>
      </c>
      <c r="F1663" s="21">
        <v>1360</v>
      </c>
      <c r="G1663" s="22">
        <v>4500</v>
      </c>
      <c r="H1663" s="22"/>
      <c r="I1663" s="22">
        <f t="shared" si="27"/>
        <v>4500</v>
      </c>
      <c r="J1663" s="18" t="s">
        <v>1082</v>
      </c>
      <c r="K1663" s="18" t="s">
        <v>3774</v>
      </c>
      <c r="L1663" s="18" t="s">
        <v>3775</v>
      </c>
      <c r="M1663" s="18">
        <v>41882028</v>
      </c>
      <c r="N1663" s="16">
        <v>46178</v>
      </c>
      <c r="O1663" s="18" t="s">
        <v>2074</v>
      </c>
      <c r="P1663" s="18" t="s">
        <v>3624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>
      <c r="A1664" s="16">
        <v>46169</v>
      </c>
      <c r="B1664" s="16">
        <v>46171</v>
      </c>
      <c r="C1664" s="21">
        <v>15430003</v>
      </c>
      <c r="D1664" s="16" t="str">
        <f>IFERROR(VLOOKUP(Tabela5[[#This Row],[PREFIXO ]],Tabela4[#All],2,0),"CENTRO DE CUSTO")</f>
        <v>ATOMIZADOR TEC SPRAY ATOMAX</v>
      </c>
      <c r="E1664" s="18" t="s">
        <v>67</v>
      </c>
      <c r="F1664" s="21">
        <v>174</v>
      </c>
      <c r="G1664" s="22">
        <v>3224.4</v>
      </c>
      <c r="H1664" s="22">
        <v>3600</v>
      </c>
      <c r="I1664" s="22">
        <f t="shared" si="27"/>
        <v>6824.4</v>
      </c>
      <c r="J1664" s="18" t="s">
        <v>1196</v>
      </c>
      <c r="K1664" s="18" t="s">
        <v>3776</v>
      </c>
      <c r="L1664" s="18" t="s">
        <v>3777</v>
      </c>
      <c r="M1664" s="18" t="s">
        <v>3778</v>
      </c>
      <c r="N1664" s="16">
        <v>46171</v>
      </c>
      <c r="O1664" s="18" t="s">
        <v>3779</v>
      </c>
      <c r="P1664" s="18" t="s">
        <v>3707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>
      <c r="A1665" s="16">
        <v>46169</v>
      </c>
      <c r="B1665" s="16">
        <v>46170</v>
      </c>
      <c r="C1665" s="21">
        <v>500580100</v>
      </c>
      <c r="D1665" s="16" t="str">
        <f>IFERROR(VLOOKUP(Tabela5[[#This Row],[PREFIXO ]],Tabela4[#All],2,0),"CENTRO DE CUSTO")</f>
        <v>Autopropelidos</v>
      </c>
      <c r="E1665" s="18" t="s">
        <v>67</v>
      </c>
      <c r="F1665" s="21">
        <v>176</v>
      </c>
      <c r="G1665" s="22">
        <v>4400</v>
      </c>
      <c r="H1665" s="22"/>
      <c r="I1665" s="22">
        <f t="shared" si="27"/>
        <v>4400</v>
      </c>
      <c r="J1665" s="18" t="s">
        <v>1262</v>
      </c>
      <c r="K1665" s="18" t="s">
        <v>3780</v>
      </c>
      <c r="L1665" s="18" t="s">
        <v>3781</v>
      </c>
      <c r="M1665" s="18" t="s">
        <v>3782</v>
      </c>
      <c r="N1665" s="16" t="s">
        <v>3436</v>
      </c>
      <c r="O1665" s="18" t="s">
        <v>3783</v>
      </c>
      <c r="P1665" s="18" t="s">
        <v>3419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>
      <c r="A1666" s="16">
        <v>46169</v>
      </c>
      <c r="B1666" s="16">
        <v>46170</v>
      </c>
      <c r="C1666" s="21">
        <v>13130047</v>
      </c>
      <c r="D1666" s="16" t="str">
        <f>IFERROR(VLOOKUP(Tabela5[[#This Row],[PREFIXO ]],Tabela4[#All],2,0),"CENTRO DE CUSTO")</f>
        <v>PULV AUTOPROP JOHN DEERE M4030</v>
      </c>
      <c r="E1666" s="18" t="s">
        <v>67</v>
      </c>
      <c r="F1666" s="21">
        <v>175</v>
      </c>
      <c r="G1666" s="22">
        <v>3600</v>
      </c>
      <c r="H1666" s="22"/>
      <c r="I1666" s="22">
        <f t="shared" si="27"/>
        <v>3600</v>
      </c>
      <c r="J1666" s="18" t="s">
        <v>1262</v>
      </c>
      <c r="K1666" s="18" t="s">
        <v>3784</v>
      </c>
      <c r="L1666" s="18" t="s">
        <v>3781</v>
      </c>
      <c r="M1666" s="18" t="s">
        <v>3782</v>
      </c>
      <c r="N1666" s="16" t="s">
        <v>3436</v>
      </c>
      <c r="O1666" s="18" t="s">
        <v>3783</v>
      </c>
      <c r="P1666" s="18" t="s">
        <v>3419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>
      <c r="A1667" s="16">
        <v>46169</v>
      </c>
      <c r="B1667" s="16">
        <v>46170</v>
      </c>
      <c r="C1667" s="21">
        <v>31521034</v>
      </c>
      <c r="D1667" s="16" t="str">
        <f>IFERROR(VLOOKUP(Tabela5[[#This Row],[PREFIXO ]],Tabela4[#All],2,0),"CENTRO DE CUSTO")</f>
        <v>ADUB AUTOPROP KUHN ACCURA ST 7000</v>
      </c>
      <c r="E1667" s="18" t="s">
        <v>67</v>
      </c>
      <c r="F1667" s="21">
        <v>173</v>
      </c>
      <c r="G1667" s="22">
        <v>3600</v>
      </c>
      <c r="H1667" s="22"/>
      <c r="I1667" s="22">
        <f t="shared" si="27"/>
        <v>3600</v>
      </c>
      <c r="J1667" s="18" t="s">
        <v>1262</v>
      </c>
      <c r="K1667" s="18" t="s">
        <v>3785</v>
      </c>
      <c r="L1667" s="18" t="s">
        <v>3781</v>
      </c>
      <c r="M1667" s="18" t="s">
        <v>3782</v>
      </c>
      <c r="N1667" s="16" t="s">
        <v>3436</v>
      </c>
      <c r="O1667" s="18" t="s">
        <v>3783</v>
      </c>
      <c r="P1667" s="18" t="s">
        <v>3419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>
      <c r="A1668" s="16">
        <v>46169</v>
      </c>
      <c r="B1668" s="16">
        <v>46170</v>
      </c>
      <c r="C1668" s="21">
        <v>13130034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172</v>
      </c>
      <c r="G1668" s="22">
        <v>3600</v>
      </c>
      <c r="H1668" s="22"/>
      <c r="I1668" s="22">
        <f t="shared" si="27"/>
        <v>3600</v>
      </c>
      <c r="J1668" s="18" t="s">
        <v>1262</v>
      </c>
      <c r="K1668" s="18" t="s">
        <v>3786</v>
      </c>
      <c r="L1668" s="18" t="s">
        <v>3787</v>
      </c>
      <c r="M1668" s="18" t="s">
        <v>3788</v>
      </c>
      <c r="N1668" s="16" t="s">
        <v>3436</v>
      </c>
      <c r="O1668" s="18" t="s">
        <v>3789</v>
      </c>
      <c r="P1668" s="18" t="s">
        <v>3419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>
      <c r="A1669" s="16">
        <v>46169</v>
      </c>
      <c r="B1669" s="16">
        <v>46170</v>
      </c>
      <c r="C1669" s="21">
        <v>13130033</v>
      </c>
      <c r="D1669" s="16" t="str">
        <f>IFERROR(VLOOKUP(Tabela5[[#This Row],[PREFIXO ]],Tabela4[#All],2,0),"CENTRO DE CUSTO")</f>
        <v>PULV AUTOPROP JOHN DEERE M4030</v>
      </c>
      <c r="E1669" s="18" t="s">
        <v>67</v>
      </c>
      <c r="F1669" s="21">
        <v>168</v>
      </c>
      <c r="G1669" s="22">
        <v>3600</v>
      </c>
      <c r="H1669" s="22"/>
      <c r="I1669" s="22">
        <f t="shared" si="27"/>
        <v>3600</v>
      </c>
      <c r="J1669" s="18" t="s">
        <v>1262</v>
      </c>
      <c r="K1669" s="18" t="s">
        <v>3790</v>
      </c>
      <c r="L1669" s="18" t="s">
        <v>3781</v>
      </c>
      <c r="M1669" s="18" t="s">
        <v>3782</v>
      </c>
      <c r="N1669" s="16" t="s">
        <v>3436</v>
      </c>
      <c r="O1669" s="18" t="s">
        <v>3783</v>
      </c>
      <c r="P1669" s="18" t="s">
        <v>3419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>
      <c r="A1670" s="16">
        <v>46169</v>
      </c>
      <c r="B1670" s="16">
        <v>46170</v>
      </c>
      <c r="C1670" s="21">
        <v>51519055</v>
      </c>
      <c r="D1670" s="16" t="str">
        <f>IFERROR(VLOOKUP(Tabela5[[#This Row],[PREFIXO ]],Tabela4[#All],2,0),"CENTRO DE CUSTO")</f>
        <v>COLHED ALGODÃO JOHN DEERE CP 770</v>
      </c>
      <c r="E1670" s="18" t="s">
        <v>67</v>
      </c>
      <c r="F1670" s="21">
        <v>180</v>
      </c>
      <c r="G1670" s="22">
        <v>1750</v>
      </c>
      <c r="H1670" s="22"/>
      <c r="I1670" s="22">
        <f t="shared" si="27"/>
        <v>1750</v>
      </c>
      <c r="J1670" s="18" t="s">
        <v>1120</v>
      </c>
      <c r="K1670" s="18" t="s">
        <v>3791</v>
      </c>
      <c r="L1670" s="18" t="s">
        <v>3781</v>
      </c>
      <c r="M1670" s="18" t="s">
        <v>3782</v>
      </c>
      <c r="N1670" s="16" t="s">
        <v>3436</v>
      </c>
      <c r="O1670" s="18" t="s">
        <v>3783</v>
      </c>
      <c r="P1670" s="18" t="s">
        <v>3419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>
      <c r="A1671" s="16">
        <v>46169</v>
      </c>
      <c r="B1671" s="16">
        <v>46170</v>
      </c>
      <c r="C1671" s="21">
        <v>13130037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167</v>
      </c>
      <c r="G1671" s="22">
        <v>1709.64</v>
      </c>
      <c r="H1671" s="22"/>
      <c r="I1671" s="22">
        <f t="shared" si="27"/>
        <v>1709.64</v>
      </c>
      <c r="J1671" s="18" t="s">
        <v>1262</v>
      </c>
      <c r="K1671" s="18" t="s">
        <v>3792</v>
      </c>
      <c r="L1671" s="18" t="s">
        <v>3787</v>
      </c>
      <c r="M1671" s="18" t="s">
        <v>3788</v>
      </c>
      <c r="N1671" s="16" t="s">
        <v>3436</v>
      </c>
      <c r="O1671" s="18" t="s">
        <v>3789</v>
      </c>
      <c r="P1671" s="18" t="s">
        <v>3419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>
      <c r="A1672" s="16">
        <v>46169</v>
      </c>
      <c r="B1672" s="16">
        <v>46170</v>
      </c>
      <c r="C1672" s="21">
        <v>13130044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169</v>
      </c>
      <c r="G1672" s="22">
        <v>1464.84</v>
      </c>
      <c r="H1672" s="22"/>
      <c r="I1672" s="22">
        <f t="shared" si="27"/>
        <v>1464.84</v>
      </c>
      <c r="J1672" s="18" t="s">
        <v>1262</v>
      </c>
      <c r="K1672" s="18" t="s">
        <v>3793</v>
      </c>
      <c r="L1672" s="18" t="s">
        <v>3781</v>
      </c>
      <c r="M1672" s="18" t="s">
        <v>3782</v>
      </c>
      <c r="N1672" s="16" t="s">
        <v>3436</v>
      </c>
      <c r="O1672" s="18" t="s">
        <v>3783</v>
      </c>
      <c r="P1672" s="18" t="s">
        <v>3419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>
      <c r="A1673" s="16">
        <v>46169</v>
      </c>
      <c r="B1673" s="16">
        <v>46170</v>
      </c>
      <c r="C1673" s="21">
        <v>13130034</v>
      </c>
      <c r="D1673" s="16" t="str">
        <f>IFERROR(VLOOKUP(Tabela5[[#This Row],[PREFIXO ]],Tabela4[#All],2,0),"CENTRO DE CUSTO")</f>
        <v>PULV AUTOPROP JOHN DEERE M4030</v>
      </c>
      <c r="E1673" s="18" t="s">
        <v>67</v>
      </c>
      <c r="F1673" s="21">
        <v>166</v>
      </c>
      <c r="G1673" s="22">
        <v>1192.32</v>
      </c>
      <c r="H1673" s="22"/>
      <c r="I1673" s="22">
        <f t="shared" si="27"/>
        <v>1192.32</v>
      </c>
      <c r="J1673" s="18" t="s">
        <v>1262</v>
      </c>
      <c r="K1673" s="18"/>
      <c r="L1673" s="18" t="s">
        <v>3787</v>
      </c>
      <c r="M1673" s="18" t="s">
        <v>3788</v>
      </c>
      <c r="N1673" s="16" t="s">
        <v>3436</v>
      </c>
      <c r="O1673" s="18" t="s">
        <v>3789</v>
      </c>
      <c r="P1673" s="18" t="s">
        <v>3419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>
      <c r="A1674" s="16">
        <v>46169</v>
      </c>
      <c r="B1674" s="16">
        <v>46170</v>
      </c>
      <c r="C1674" s="21">
        <v>900258</v>
      </c>
      <c r="D1674" s="16" t="str">
        <f>IFERROR(VLOOKUP(Tabela5[[#This Row],[PREFIXO ]],Tabela4[#All],2,0),"CENTRO DE CUSTO")</f>
        <v>PRENSA HIDRAULICA 150 TON</v>
      </c>
      <c r="E1674" s="18" t="s">
        <v>67</v>
      </c>
      <c r="F1674" s="21">
        <v>182</v>
      </c>
      <c r="G1674" s="22">
        <v>1125</v>
      </c>
      <c r="H1674" s="22"/>
      <c r="I1674" s="22">
        <f t="shared" si="27"/>
        <v>1125</v>
      </c>
      <c r="J1674" s="18" t="s">
        <v>1262</v>
      </c>
      <c r="K1674" s="18" t="s">
        <v>3794</v>
      </c>
      <c r="L1674" s="18" t="s">
        <v>3781</v>
      </c>
      <c r="M1674" s="18" t="s">
        <v>3782</v>
      </c>
      <c r="N1674" s="16" t="s">
        <v>3436</v>
      </c>
      <c r="O1674" s="18" t="s">
        <v>3783</v>
      </c>
      <c r="P1674" s="18" t="s">
        <v>3419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>
      <c r="A1675" s="16">
        <v>46169</v>
      </c>
      <c r="B1675" s="16">
        <v>46170</v>
      </c>
      <c r="C1675" s="21">
        <v>13130037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170</v>
      </c>
      <c r="G1675" s="22">
        <v>824.8</v>
      </c>
      <c r="H1675" s="22"/>
      <c r="I1675" s="22">
        <f t="shared" si="27"/>
        <v>824.8</v>
      </c>
      <c r="J1675" s="18" t="s">
        <v>1262</v>
      </c>
      <c r="K1675" s="18"/>
      <c r="L1675" s="18" t="s">
        <v>3787</v>
      </c>
      <c r="M1675" s="18" t="s">
        <v>3788</v>
      </c>
      <c r="N1675" s="16" t="s">
        <v>3436</v>
      </c>
      <c r="O1675" s="18" t="s">
        <v>3789</v>
      </c>
      <c r="P1675" s="18" t="s">
        <v>3419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>
      <c r="A1676" s="16">
        <v>46195</v>
      </c>
      <c r="B1676" s="16">
        <v>46198</v>
      </c>
      <c r="C1676" s="21">
        <v>51519060</v>
      </c>
      <c r="D1676" s="16" t="str">
        <f>IFERROR(VLOOKUP(Tabela5[[#This Row],[PREFIXO ]],Tabela4[#All],2,0),"CENTRO DE CUSTO")</f>
        <v>CENTRO DE CUSTO</v>
      </c>
      <c r="E1676" s="18" t="s">
        <v>255</v>
      </c>
      <c r="F1676" s="21">
        <v>1003</v>
      </c>
      <c r="G1676" s="22">
        <v>1100</v>
      </c>
      <c r="H1676" s="22"/>
      <c r="I1676" s="22">
        <f t="shared" si="27"/>
        <v>1100</v>
      </c>
      <c r="J1676" s="18" t="s">
        <v>1120</v>
      </c>
      <c r="K1676" s="18" t="s">
        <v>3795</v>
      </c>
      <c r="L1676" s="18" t="s">
        <v>3796</v>
      </c>
      <c r="M1676" s="18" t="s">
        <v>3797</v>
      </c>
      <c r="N1676" s="16">
        <v>46199</v>
      </c>
      <c r="O1676" s="18" t="s">
        <v>3323</v>
      </c>
      <c r="P1676" s="18" t="s">
        <v>3655</v>
      </c>
      <c r="Q1676" s="16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>
      <c r="A1677" s="16">
        <v>46169</v>
      </c>
      <c r="B1677" s="16">
        <v>46170</v>
      </c>
      <c r="C1677" s="21">
        <v>13130046</v>
      </c>
      <c r="D1677" s="16" t="str">
        <f>IFERROR(VLOOKUP(Tabela5[[#This Row],[PREFIXO ]],Tabela4[#All],2,0),"CENTRO DE CUSTO")</f>
        <v>PULV AUTOPROP JOHN DEERE M4030</v>
      </c>
      <c r="E1677" s="18" t="s">
        <v>67</v>
      </c>
      <c r="F1677" s="21">
        <v>171</v>
      </c>
      <c r="G1677" s="22">
        <v>467.4</v>
      </c>
      <c r="H1677" s="22"/>
      <c r="I1677" s="22">
        <f t="shared" si="27"/>
        <v>467.4</v>
      </c>
      <c r="J1677" s="18" t="s">
        <v>1262</v>
      </c>
      <c r="K1677" s="18" t="s">
        <v>3798</v>
      </c>
      <c r="L1677" s="18" t="s">
        <v>3781</v>
      </c>
      <c r="M1677" s="18" t="s">
        <v>3782</v>
      </c>
      <c r="N1677" s="16" t="s">
        <v>3436</v>
      </c>
      <c r="O1677" s="18" t="s">
        <v>3783</v>
      </c>
      <c r="P1677" s="18" t="s">
        <v>3419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>
      <c r="A1678" s="16">
        <v>46169</v>
      </c>
      <c r="B1678" s="16">
        <v>46182</v>
      </c>
      <c r="C1678" s="21">
        <v>51521049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1044</v>
      </c>
      <c r="G1678" s="22">
        <v>5134.8</v>
      </c>
      <c r="H1678" s="22">
        <v>22320.63</v>
      </c>
      <c r="I1678" s="22">
        <f t="shared" si="27"/>
        <v>27455.43</v>
      </c>
      <c r="J1678" s="18" t="s">
        <v>1120</v>
      </c>
      <c r="K1678" s="18" t="s">
        <v>3799</v>
      </c>
      <c r="L1678" s="18" t="s">
        <v>3800</v>
      </c>
      <c r="M1678" s="18">
        <v>41888352</v>
      </c>
      <c r="N1678" s="16">
        <v>46188</v>
      </c>
      <c r="O1678" s="18" t="s">
        <v>3801</v>
      </c>
      <c r="P1678" s="18" t="s">
        <v>3802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>
      <c r="A1679" s="16">
        <v>46169</v>
      </c>
      <c r="B1679" s="16">
        <v>46182</v>
      </c>
      <c r="C1679" s="21">
        <v>51521057</v>
      </c>
      <c r="D1679" s="16" t="str">
        <f>IFERROR(VLOOKUP(Tabela5[[#This Row],[PREFIXO ]],Tabela4[#All],2,0),"CENTRO DE CUSTO")</f>
        <v>COLHED ALGODÃO JOHN DEERE CP 690</v>
      </c>
      <c r="E1679" s="18" t="s">
        <v>173</v>
      </c>
      <c r="F1679" s="21">
        <v>1045</v>
      </c>
      <c r="G1679" s="22">
        <v>20364.8</v>
      </c>
      <c r="H1679" s="22">
        <v>6234.42</v>
      </c>
      <c r="I1679" s="22">
        <f t="shared" si="27"/>
        <v>26599.22</v>
      </c>
      <c r="J1679" s="18" t="s">
        <v>1120</v>
      </c>
      <c r="K1679" s="18" t="s">
        <v>3803</v>
      </c>
      <c r="L1679" s="18" t="s">
        <v>3804</v>
      </c>
      <c r="M1679" s="18">
        <v>41885087</v>
      </c>
      <c r="N1679" s="16">
        <v>46183</v>
      </c>
      <c r="O1679" s="18" t="s">
        <v>3805</v>
      </c>
      <c r="P1679" s="18" t="s">
        <v>3806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>
      <c r="A1680" s="16">
        <v>46169</v>
      </c>
      <c r="B1680" s="16">
        <v>46182</v>
      </c>
      <c r="C1680" s="21">
        <v>51521050</v>
      </c>
      <c r="D1680" s="16" t="str">
        <f>IFERROR(VLOOKUP(Tabela5[[#This Row],[PREFIXO ]],Tabela4[#All],2,0),"CENTRO DE CUSTO")</f>
        <v>COLHED ALGODÃO JOHN DEERE CP 690</v>
      </c>
      <c r="E1680" s="18" t="s">
        <v>173</v>
      </c>
      <c r="F1680" s="21">
        <v>1043</v>
      </c>
      <c r="G1680" s="22">
        <v>20744.8</v>
      </c>
      <c r="H1680" s="22">
        <v>3319.92</v>
      </c>
      <c r="I1680" s="22">
        <f t="shared" si="27"/>
        <v>24064.720000000001</v>
      </c>
      <c r="J1680" s="18" t="s">
        <v>1120</v>
      </c>
      <c r="K1680" s="18" t="s">
        <v>3807</v>
      </c>
      <c r="L1680" s="18" t="s">
        <v>3808</v>
      </c>
      <c r="M1680" s="18">
        <v>41888350</v>
      </c>
      <c r="N1680" s="16">
        <v>46188</v>
      </c>
      <c r="O1680" s="18" t="s">
        <v>3809</v>
      </c>
      <c r="P1680" s="18" t="s">
        <v>3802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>
      <c r="A1681" s="16">
        <v>46169</v>
      </c>
      <c r="B1681" s="16">
        <v>46182</v>
      </c>
      <c r="C1681" s="21">
        <v>5173116</v>
      </c>
      <c r="D1681" s="16" t="str">
        <f>IFERROR(VLOOKUP(Tabela5[[#This Row],[PREFIXO ]],Tabela4[#All],2,0),"CENTRO DE CUSTO")</f>
        <v>COLHED ALGODÃO JOHN DEERE 7760</v>
      </c>
      <c r="E1681" s="18" t="s">
        <v>173</v>
      </c>
      <c r="F1681" s="21">
        <v>1042</v>
      </c>
      <c r="G1681" s="22">
        <v>2864.8</v>
      </c>
      <c r="H1681" s="22">
        <v>8503.27</v>
      </c>
      <c r="I1681" s="22">
        <f t="shared" si="27"/>
        <v>11368.07</v>
      </c>
      <c r="J1681" s="18" t="s">
        <v>1120</v>
      </c>
      <c r="K1681" s="18" t="s">
        <v>3810</v>
      </c>
      <c r="L1681" s="18" t="s">
        <v>3811</v>
      </c>
      <c r="M1681" s="18">
        <v>41885753</v>
      </c>
      <c r="N1681" s="16">
        <v>46184</v>
      </c>
      <c r="O1681" s="18" t="s">
        <v>3812</v>
      </c>
      <c r="P1681" s="18" t="s">
        <v>3806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>
      <c r="A1682" s="16">
        <v>46169</v>
      </c>
      <c r="B1682" s="16">
        <v>46182</v>
      </c>
      <c r="C1682" s="21">
        <v>51519061</v>
      </c>
      <c r="D1682" s="16" t="str">
        <f>IFERROR(VLOOKUP(Tabela5[[#This Row],[PREFIXO ]],Tabela4[#All],2,0),"CENTRO DE CUSTO")</f>
        <v>CENTRO DE CUSTO</v>
      </c>
      <c r="E1682" s="18" t="s">
        <v>173</v>
      </c>
      <c r="F1682" s="21">
        <v>1041</v>
      </c>
      <c r="G1682" s="22">
        <v>1030</v>
      </c>
      <c r="H1682" s="22">
        <v>914.45</v>
      </c>
      <c r="I1682" s="22">
        <f t="shared" si="27"/>
        <v>1944.45</v>
      </c>
      <c r="J1682" s="18" t="s">
        <v>1120</v>
      </c>
      <c r="K1682" s="18" t="s">
        <v>3813</v>
      </c>
      <c r="L1682" s="18" t="s">
        <v>3814</v>
      </c>
      <c r="M1682" s="18">
        <v>41885530</v>
      </c>
      <c r="N1682" s="16">
        <v>46183</v>
      </c>
      <c r="O1682" s="18" t="s">
        <v>3815</v>
      </c>
      <c r="P1682" s="18" t="s">
        <v>3816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>
      <c r="A1683" s="16">
        <v>46195</v>
      </c>
      <c r="B1683" s="16">
        <v>46198</v>
      </c>
      <c r="C1683" s="21">
        <v>5173118</v>
      </c>
      <c r="D1683" s="16" t="str">
        <f>IFERROR(VLOOKUP(Tabela5[[#This Row],[PREFIXO ]],Tabela4[#All],2,0),"CENTRO DE CUSTO")</f>
        <v>COLHED ALGODÃO JOHN DEERE 7760</v>
      </c>
      <c r="E1683" s="18" t="s">
        <v>255</v>
      </c>
      <c r="F1683" s="21">
        <v>1004</v>
      </c>
      <c r="G1683" s="22">
        <v>1400</v>
      </c>
      <c r="H1683" s="22"/>
      <c r="I1683" s="22">
        <f t="shared" si="27"/>
        <v>1400</v>
      </c>
      <c r="J1683" s="18" t="s">
        <v>1120</v>
      </c>
      <c r="K1683" s="18" t="s">
        <v>3817</v>
      </c>
      <c r="L1683" s="18" t="s">
        <v>3796</v>
      </c>
      <c r="M1683" s="18" t="s">
        <v>3797</v>
      </c>
      <c r="N1683" s="16">
        <v>46199</v>
      </c>
      <c r="O1683" s="18" t="s">
        <v>3323</v>
      </c>
      <c r="P1683" s="18" t="s">
        <v>3655</v>
      </c>
      <c r="Q1683" s="16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>
      <c r="A1684" s="16">
        <v>46195</v>
      </c>
      <c r="B1684" s="16">
        <v>46198</v>
      </c>
      <c r="C1684" s="21">
        <v>51521059</v>
      </c>
      <c r="D1684" s="16" t="str">
        <f>IFERROR(VLOOKUP(Tabela5[[#This Row],[PREFIXO ]],Tabela4[#All],2,0),"CENTRO DE CUSTO")</f>
        <v>COLHED ALGODÃO JOHN DEERE CP 690</v>
      </c>
      <c r="E1684" s="18" t="s">
        <v>255</v>
      </c>
      <c r="F1684" s="21">
        <v>996</v>
      </c>
      <c r="G1684" s="22">
        <v>1350</v>
      </c>
      <c r="H1684" s="22"/>
      <c r="I1684" s="22">
        <f t="shared" si="27"/>
        <v>1350</v>
      </c>
      <c r="J1684" s="18" t="s">
        <v>1120</v>
      </c>
      <c r="K1684" s="18" t="s">
        <v>3818</v>
      </c>
      <c r="L1684" s="18" t="s">
        <v>3796</v>
      </c>
      <c r="M1684" s="18" t="s">
        <v>3797</v>
      </c>
      <c r="N1684" s="16">
        <v>46199</v>
      </c>
      <c r="O1684" s="18" t="s">
        <v>3323</v>
      </c>
      <c r="P1684" s="18" t="s">
        <v>3655</v>
      </c>
      <c r="Q1684" s="16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>
      <c r="A1685" s="16">
        <v>46169</v>
      </c>
      <c r="B1685" s="16">
        <v>46175</v>
      </c>
      <c r="C1685" s="21">
        <v>1159005</v>
      </c>
      <c r="D1685" s="16" t="str">
        <f>IFERROR(VLOOKUP(Tabela5[[#This Row],[PREFIXO ]],Tabela4[#All],2,0),"CENTRO DE CUSTO")</f>
        <v>TRAT PN MED JOHN DEERE 7500</v>
      </c>
      <c r="E1685" s="18" t="s">
        <v>96</v>
      </c>
      <c r="F1685" s="21" t="s">
        <v>3819</v>
      </c>
      <c r="G1685" s="22">
        <v>100</v>
      </c>
      <c r="H1685" s="22">
        <v>1153.67</v>
      </c>
      <c r="I1685" s="22">
        <f t="shared" si="27"/>
        <v>1253.67</v>
      </c>
      <c r="J1685" s="18" t="s">
        <v>1196</v>
      </c>
      <c r="K1685" s="18" t="s">
        <v>3820</v>
      </c>
      <c r="L1685" s="18" t="s">
        <v>3821</v>
      </c>
      <c r="M1685" s="18" t="s">
        <v>3822</v>
      </c>
      <c r="N1685" s="16" t="s">
        <v>3419</v>
      </c>
      <c r="O1685" s="18" t="s">
        <v>3823</v>
      </c>
      <c r="P1685" s="18" t="s">
        <v>3824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>
      <c r="A1686" s="16">
        <v>46169</v>
      </c>
      <c r="B1686" s="16">
        <v>46177</v>
      </c>
      <c r="C1686" s="21">
        <v>15430003</v>
      </c>
      <c r="D1686" s="16" t="str">
        <f>IFERROR(VLOOKUP(Tabela5[[#This Row],[PREFIXO ]],Tabela4[#All],2,0),"CENTRO DE CUSTO")</f>
        <v>ATOMIZADOR TEC SPRAY ATOMAX</v>
      </c>
      <c r="E1686" s="18" t="s">
        <v>96</v>
      </c>
      <c r="F1686" s="21" t="s">
        <v>3825</v>
      </c>
      <c r="G1686" s="22">
        <v>567</v>
      </c>
      <c r="H1686" s="22">
        <v>339.52</v>
      </c>
      <c r="I1686" s="22">
        <f t="shared" si="27"/>
        <v>906.52</v>
      </c>
      <c r="J1686" s="18" t="s">
        <v>1196</v>
      </c>
      <c r="K1686" s="18" t="s">
        <v>3826</v>
      </c>
      <c r="L1686" s="18" t="s">
        <v>3827</v>
      </c>
      <c r="M1686" s="18" t="s">
        <v>3828</v>
      </c>
      <c r="N1686" s="16">
        <v>46177</v>
      </c>
      <c r="O1686" s="18" t="s">
        <v>3829</v>
      </c>
      <c r="P1686" s="18" t="s">
        <v>3680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>
      <c r="A1687" s="16">
        <v>46169</v>
      </c>
      <c r="B1687" s="16">
        <v>46177</v>
      </c>
      <c r="C1687" s="21">
        <v>17320832</v>
      </c>
      <c r="D1687" s="16" t="str">
        <f>IFERROR(VLOOKUP(Tabela5[[#This Row],[PREFIXO ]],Tabela4[#All],2,0),"CENTRO DE CUSTO")</f>
        <v>PLANTADEIRA CASE IH FAST RISER 6100</v>
      </c>
      <c r="E1687" s="18" t="s">
        <v>96</v>
      </c>
      <c r="F1687" s="21" t="s">
        <v>3830</v>
      </c>
      <c r="G1687" s="22">
        <v>486</v>
      </c>
      <c r="H1687" s="22">
        <v>259.99</v>
      </c>
      <c r="I1687" s="22">
        <f t="shared" si="27"/>
        <v>745.99</v>
      </c>
      <c r="J1687" s="18" t="s">
        <v>1196</v>
      </c>
      <c r="K1687" s="18" t="s">
        <v>3831</v>
      </c>
      <c r="L1687" s="18" t="s">
        <v>3832</v>
      </c>
      <c r="M1687" s="18" t="s">
        <v>3833</v>
      </c>
      <c r="N1687" s="16">
        <v>46177</v>
      </c>
      <c r="O1687" s="18" t="s">
        <v>3834</v>
      </c>
      <c r="P1687" s="18" t="s">
        <v>3680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>
      <c r="A1688" s="16">
        <v>46169</v>
      </c>
      <c r="B1688" s="16">
        <v>46177</v>
      </c>
      <c r="C1688" s="21">
        <v>51521069</v>
      </c>
      <c r="D1688" s="16" t="str">
        <f>IFERROR(VLOOKUP(Tabela5[[#This Row],[PREFIXO ]],Tabela4[#All],2,0),"CENTRO DE CUSTO")</f>
        <v>COLHED ALGODÃO JOHN DEERE CP 690</v>
      </c>
      <c r="E1688" s="18" t="s">
        <v>70</v>
      </c>
      <c r="F1688" s="21">
        <v>23183</v>
      </c>
      <c r="G1688" s="22">
        <v>22920</v>
      </c>
      <c r="H1688" s="22"/>
      <c r="I1688" s="22">
        <f t="shared" si="27"/>
        <v>22920</v>
      </c>
      <c r="J1688" s="18" t="s">
        <v>1120</v>
      </c>
      <c r="K1688" s="18" t="s">
        <v>3835</v>
      </c>
      <c r="L1688" s="18" t="s">
        <v>3836</v>
      </c>
      <c r="M1688" s="18">
        <v>41882125</v>
      </c>
      <c r="N1688" s="16">
        <v>46178</v>
      </c>
      <c r="O1688" s="18" t="s">
        <v>3837</v>
      </c>
      <c r="P1688" s="18" t="s">
        <v>3296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>
      <c r="A1689" s="16">
        <v>46195</v>
      </c>
      <c r="B1689" s="16">
        <v>46198</v>
      </c>
      <c r="C1689" s="21">
        <v>51521096</v>
      </c>
      <c r="D1689" s="16" t="str">
        <f>IFERROR(VLOOKUP(Tabela5[[#This Row],[PREFIXO ]],Tabela4[#All],2,0),"CENTRO DE CUSTO")</f>
        <v>COLHEIT DE GRÃOS N.HOLLAND CR 8.90</v>
      </c>
      <c r="E1689" s="18" t="s">
        <v>255</v>
      </c>
      <c r="F1689" s="21">
        <v>997</v>
      </c>
      <c r="G1689" s="22">
        <v>1200</v>
      </c>
      <c r="H1689" s="22"/>
      <c r="I1689" s="22">
        <f t="shared" si="27"/>
        <v>1200</v>
      </c>
      <c r="J1689" s="18" t="s">
        <v>1120</v>
      </c>
      <c r="K1689" s="18" t="s">
        <v>3838</v>
      </c>
      <c r="L1689" s="18" t="s">
        <v>3796</v>
      </c>
      <c r="M1689" s="18" t="s">
        <v>3797</v>
      </c>
      <c r="N1689" s="16">
        <v>46199</v>
      </c>
      <c r="O1689" s="18" t="s">
        <v>3323</v>
      </c>
      <c r="P1689" s="18" t="s">
        <v>3655</v>
      </c>
      <c r="Q1689" s="16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>
      <c r="A1690" s="16">
        <v>46195</v>
      </c>
      <c r="B1690" s="16">
        <v>46198</v>
      </c>
      <c r="C1690" s="21" t="s">
        <v>3839</v>
      </c>
      <c r="D1690" s="16" t="str">
        <f>IFERROR(VLOOKUP(Tabela5[[#This Row],[PREFIXO ]],Tabela4[#All],2,0),"CENTRO DE CUSTO")</f>
        <v>CENTRO DE CUSTO</v>
      </c>
      <c r="E1690" s="18" t="s">
        <v>255</v>
      </c>
      <c r="F1690" s="21">
        <v>998</v>
      </c>
      <c r="G1690" s="22">
        <v>1250</v>
      </c>
      <c r="H1690" s="22"/>
      <c r="I1690" s="22">
        <f t="shared" si="27"/>
        <v>1250</v>
      </c>
      <c r="J1690" s="18" t="s">
        <v>1120</v>
      </c>
      <c r="K1690" s="18" t="s">
        <v>3840</v>
      </c>
      <c r="L1690" s="18" t="s">
        <v>3796</v>
      </c>
      <c r="M1690" s="18" t="s">
        <v>3797</v>
      </c>
      <c r="N1690" s="16">
        <v>46199</v>
      </c>
      <c r="O1690" s="18" t="s">
        <v>3323</v>
      </c>
      <c r="P1690" s="18" t="s">
        <v>3655</v>
      </c>
      <c r="Q1690" s="16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>
      <c r="A1691" s="16">
        <v>46195</v>
      </c>
      <c r="B1691" s="16">
        <v>46198</v>
      </c>
      <c r="C1691" s="21">
        <v>51519034</v>
      </c>
      <c r="D1691" s="16" t="str">
        <f>IFERROR(VLOOKUP(Tabela5[[#This Row],[PREFIXO ]],Tabela4[#All],2,0),"CENTRO DE CUSTO")</f>
        <v>COLHEIT DE GRÃOS N.HOLLAND CR 8.90</v>
      </c>
      <c r="E1691" s="18" t="s">
        <v>255</v>
      </c>
      <c r="F1691" s="21">
        <v>1000</v>
      </c>
      <c r="G1691" s="22">
        <v>1400</v>
      </c>
      <c r="H1691" s="22"/>
      <c r="I1691" s="22">
        <f t="shared" si="27"/>
        <v>1400</v>
      </c>
      <c r="J1691" s="18" t="s">
        <v>1120</v>
      </c>
      <c r="K1691" s="18" t="s">
        <v>3841</v>
      </c>
      <c r="L1691" s="18" t="s">
        <v>3796</v>
      </c>
      <c r="M1691" s="18" t="s">
        <v>3797</v>
      </c>
      <c r="N1691" s="16">
        <v>46199</v>
      </c>
      <c r="O1691" s="18" t="s">
        <v>3323</v>
      </c>
      <c r="P1691" s="18" t="s">
        <v>3655</v>
      </c>
      <c r="Q1691" s="16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>
      <c r="A1692" s="16">
        <v>46169</v>
      </c>
      <c r="B1692" s="16">
        <v>46189</v>
      </c>
      <c r="C1692" s="21">
        <v>51521065</v>
      </c>
      <c r="D1692" s="16" t="str">
        <f>IFERROR(VLOOKUP(Tabela5[[#This Row],[PREFIXO ]],Tabela4[#All],2,0),"CENTRO DE CUSTO")</f>
        <v>COLHED ALGODÃO JOHN DEERE CP 690</v>
      </c>
      <c r="E1692" s="18" t="s">
        <v>71</v>
      </c>
      <c r="F1692" s="21">
        <v>7775</v>
      </c>
      <c r="G1692" s="22">
        <v>11750</v>
      </c>
      <c r="H1692" s="22">
        <v>2792.28</v>
      </c>
      <c r="I1692" s="22">
        <f t="shared" si="27"/>
        <v>14542.28</v>
      </c>
      <c r="J1692" s="18" t="s">
        <v>1120</v>
      </c>
      <c r="K1692" s="18" t="s">
        <v>3842</v>
      </c>
      <c r="L1692" s="18" t="s">
        <v>3843</v>
      </c>
      <c r="M1692" s="18">
        <v>41889571</v>
      </c>
      <c r="N1692" s="16">
        <v>46190</v>
      </c>
      <c r="O1692" s="18" t="s">
        <v>3844</v>
      </c>
      <c r="P1692" s="18" t="s">
        <v>3845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>
      <c r="A1693" s="16">
        <v>46169</v>
      </c>
      <c r="B1693" s="16">
        <v>46169</v>
      </c>
      <c r="C1693" s="21">
        <v>500580579</v>
      </c>
      <c r="D1693" s="16" t="str">
        <f>IFERROR(VLOOKUP(Tabela5[[#This Row],[PREFIXO ]],Tabela4[#All],2,0),"CENTRO DE CUSTO")</f>
        <v>Pátio de Vendas</v>
      </c>
      <c r="E1693" s="18" t="s">
        <v>224</v>
      </c>
      <c r="F1693" s="21" t="s">
        <v>3846</v>
      </c>
      <c r="G1693" s="22">
        <v>3945</v>
      </c>
      <c r="H1693" s="22"/>
      <c r="I1693" s="22">
        <f t="shared" si="27"/>
        <v>3945</v>
      </c>
      <c r="J1693" s="18" t="s">
        <v>3648</v>
      </c>
      <c r="K1693" s="18" t="s">
        <v>1092</v>
      </c>
      <c r="L1693" s="18" t="s">
        <v>3847</v>
      </c>
      <c r="M1693" s="18" t="s">
        <v>3848</v>
      </c>
      <c r="N1693" s="16"/>
      <c r="O1693" s="18" t="s">
        <v>3849</v>
      </c>
      <c r="P1693" s="18" t="s">
        <v>3850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>
      <c r="A1694" s="16">
        <v>46169</v>
      </c>
      <c r="B1694" s="16">
        <v>46177</v>
      </c>
      <c r="C1694" s="21">
        <v>11040016</v>
      </c>
      <c r="D1694" s="16" t="str">
        <f>IFERROR(VLOOKUP(Tabela5[[#This Row],[PREFIXO ]],Tabela4[#All],2,0),"CENTRO DE CUSTO")</f>
        <v>CAV MEC EXT PES SCANIA R500</v>
      </c>
      <c r="E1694" s="18" t="s">
        <v>235</v>
      </c>
      <c r="F1694" s="21">
        <v>2804</v>
      </c>
      <c r="G1694" s="22">
        <v>19720</v>
      </c>
      <c r="H1694" s="22">
        <v>21007</v>
      </c>
      <c r="I1694" s="22">
        <f t="shared" si="27"/>
        <v>40727</v>
      </c>
      <c r="J1694" s="18" t="s">
        <v>1082</v>
      </c>
      <c r="K1694" s="18" t="s">
        <v>3851</v>
      </c>
      <c r="L1694" s="18" t="s">
        <v>3852</v>
      </c>
      <c r="M1694" s="18">
        <v>41882129</v>
      </c>
      <c r="N1694" s="16">
        <v>46178</v>
      </c>
      <c r="O1694" s="18" t="s">
        <v>3853</v>
      </c>
      <c r="P1694" s="18" t="s">
        <v>3284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>
      <c r="A1695" s="16">
        <v>46169</v>
      </c>
      <c r="B1695" s="16">
        <v>46192</v>
      </c>
      <c r="C1695" s="21">
        <v>23220004</v>
      </c>
      <c r="D1695" s="16" t="str">
        <f>IFERROR(VLOOKUP(Tabela5[[#This Row],[PREFIXO ]],Tabela4[#All],2,0),"CENTRO DE CUSTO")</f>
        <v>COLHED ALGODÃO JOHN DEERE CP 770</v>
      </c>
      <c r="E1695" s="18" t="s">
        <v>162</v>
      </c>
      <c r="F1695" s="21">
        <v>186624</v>
      </c>
      <c r="G1695" s="22">
        <v>4.7</v>
      </c>
      <c r="H1695" s="22">
        <v>3120.72</v>
      </c>
      <c r="I1695" s="22">
        <f t="shared" si="27"/>
        <v>3125.4199999999996</v>
      </c>
      <c r="J1695" s="18" t="s">
        <v>1120</v>
      </c>
      <c r="K1695" s="18" t="s">
        <v>3854</v>
      </c>
      <c r="L1695" s="18" t="s">
        <v>3855</v>
      </c>
      <c r="M1695" s="18" t="s">
        <v>3856</v>
      </c>
      <c r="N1695" s="16">
        <v>46195</v>
      </c>
      <c r="O1695" s="18" t="s">
        <v>3857</v>
      </c>
      <c r="P1695" s="18" t="s">
        <v>3594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>
      <c r="A1696" s="30">
        <v>46169</v>
      </c>
      <c r="B1696" s="30">
        <v>46170</v>
      </c>
      <c r="C1696" s="31">
        <v>51521047</v>
      </c>
      <c r="D1696" s="16" t="str">
        <f>IFERROR(VLOOKUP(Tabela5[[#This Row],[PREFIXO ]],Tabela4[#All],2,0),"CENTRO DE CUSTO")</f>
        <v>COLHED ALGODÃO JOHN DEERE CP 690</v>
      </c>
      <c r="E1696" s="33" t="s">
        <v>255</v>
      </c>
      <c r="F1696" s="31">
        <v>983</v>
      </c>
      <c r="G1696" s="22">
        <v>1550</v>
      </c>
      <c r="H1696" s="32"/>
      <c r="I1696" s="32">
        <f t="shared" si="27"/>
        <v>1550</v>
      </c>
      <c r="J1696" s="18" t="s">
        <v>1120</v>
      </c>
      <c r="K1696" s="33" t="s">
        <v>3858</v>
      </c>
      <c r="L1696" s="33" t="s">
        <v>3859</v>
      </c>
      <c r="M1696" s="33" t="s">
        <v>3860</v>
      </c>
      <c r="N1696" s="30" t="s">
        <v>3715</v>
      </c>
      <c r="O1696" s="33" t="s">
        <v>1854</v>
      </c>
      <c r="P1696" s="33" t="s">
        <v>3547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>
      <c r="A1697" s="30">
        <v>46169</v>
      </c>
      <c r="B1697" s="30">
        <v>46170</v>
      </c>
      <c r="C1697" s="31">
        <v>51521066</v>
      </c>
      <c r="D1697" s="30" t="str">
        <f>IFERROR(VLOOKUP(Tabela5[[#This Row],[PREFIXO ]],Tabela4[#All],2,0),"CENTRO DE CUSTO")</f>
        <v>COLHED ALGODÃO JOHN DEERE CP 690</v>
      </c>
      <c r="E1697" s="18" t="s">
        <v>255</v>
      </c>
      <c r="F1697" s="31">
        <v>982</v>
      </c>
      <c r="G1697" s="32">
        <v>1450</v>
      </c>
      <c r="H1697" s="32"/>
      <c r="I1697" s="32">
        <f t="shared" si="27"/>
        <v>1450</v>
      </c>
      <c r="J1697" s="18" t="s">
        <v>1120</v>
      </c>
      <c r="K1697" s="33" t="s">
        <v>3861</v>
      </c>
      <c r="L1697" s="33" t="s">
        <v>3859</v>
      </c>
      <c r="M1697" s="33" t="s">
        <v>3860</v>
      </c>
      <c r="N1697" s="30" t="s">
        <v>3715</v>
      </c>
      <c r="O1697" s="33" t="s">
        <v>1854</v>
      </c>
      <c r="P1697" s="33" t="s">
        <v>3547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>
      <c r="A1698" s="30">
        <v>46169</v>
      </c>
      <c r="B1698" s="30">
        <v>46170</v>
      </c>
      <c r="C1698" s="31">
        <v>51521060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976</v>
      </c>
      <c r="G1698" s="32">
        <v>1450</v>
      </c>
      <c r="H1698" s="32"/>
      <c r="I1698" s="32">
        <f t="shared" si="27"/>
        <v>1450</v>
      </c>
      <c r="J1698" s="18" t="s">
        <v>1120</v>
      </c>
      <c r="K1698" s="33" t="s">
        <v>3862</v>
      </c>
      <c r="L1698" s="33" t="s">
        <v>3859</v>
      </c>
      <c r="M1698" s="33" t="s">
        <v>3860</v>
      </c>
      <c r="N1698" s="30" t="s">
        <v>3715</v>
      </c>
      <c r="O1698" s="33" t="s">
        <v>1854</v>
      </c>
      <c r="P1698" s="33" t="s">
        <v>3547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>
      <c r="A1699" s="30">
        <v>46169</v>
      </c>
      <c r="B1699" s="30">
        <v>46170</v>
      </c>
      <c r="C1699" s="31">
        <v>51521058</v>
      </c>
      <c r="D1699" s="30" t="str">
        <f>IFERROR(VLOOKUP(Tabela5[[#This Row],[PREFIXO ]],Tabela4[#All],2,0),"CENTRO DE CUSTO")</f>
        <v>COLHED ALGODÃO JOHN DEERE CP 690</v>
      </c>
      <c r="E1699" s="33" t="s">
        <v>255</v>
      </c>
      <c r="F1699" s="31">
        <v>974</v>
      </c>
      <c r="G1699" s="32">
        <v>1350</v>
      </c>
      <c r="H1699" s="32"/>
      <c r="I1699" s="32">
        <f t="shared" si="27"/>
        <v>1350</v>
      </c>
      <c r="J1699" s="18" t="s">
        <v>1120</v>
      </c>
      <c r="K1699" s="33" t="s">
        <v>3863</v>
      </c>
      <c r="L1699" s="33" t="s">
        <v>3859</v>
      </c>
      <c r="M1699" s="33" t="s">
        <v>3860</v>
      </c>
      <c r="N1699" s="30" t="s">
        <v>3715</v>
      </c>
      <c r="O1699" s="33" t="s">
        <v>1854</v>
      </c>
      <c r="P1699" s="33" t="s">
        <v>3547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>
      <c r="A1700" s="30">
        <v>46169</v>
      </c>
      <c r="B1700" s="30">
        <v>46170</v>
      </c>
      <c r="C1700" s="31">
        <v>51519055</v>
      </c>
      <c r="D1700" s="30" t="str">
        <f>IFERROR(VLOOKUP(Tabela5[[#This Row],[PREFIXO ]],Tabela4[#All],2,0),"CENTRO DE CUSTO")</f>
        <v>COLHED ALGODÃO JOHN DEERE CP 770</v>
      </c>
      <c r="E1700" s="18" t="s">
        <v>255</v>
      </c>
      <c r="F1700" s="31">
        <v>977</v>
      </c>
      <c r="G1700" s="32">
        <v>1176</v>
      </c>
      <c r="H1700" s="32"/>
      <c r="I1700" s="32">
        <f t="shared" si="27"/>
        <v>1176</v>
      </c>
      <c r="J1700" s="18" t="s">
        <v>1120</v>
      </c>
      <c r="K1700" s="33" t="s">
        <v>3864</v>
      </c>
      <c r="L1700" s="33" t="s">
        <v>3859</v>
      </c>
      <c r="M1700" s="33" t="s">
        <v>3860</v>
      </c>
      <c r="N1700" s="30" t="s">
        <v>3715</v>
      </c>
      <c r="O1700" s="33" t="s">
        <v>1854</v>
      </c>
      <c r="P1700" s="33" t="s">
        <v>3547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>
      <c r="A1701" s="30">
        <v>46169</v>
      </c>
      <c r="B1701" s="30">
        <v>46170</v>
      </c>
      <c r="C1701" s="31">
        <v>51521056</v>
      </c>
      <c r="D1701" s="30" t="str">
        <f>IFERROR(VLOOKUP(Tabela5[[#This Row],[PREFIXO ]],Tabela4[#All],2,0),"CENTRO DE CUSTO")</f>
        <v>COLHED ALGODÃO JOHN DEERE CP 690</v>
      </c>
      <c r="E1701" s="33" t="s">
        <v>255</v>
      </c>
      <c r="F1701" s="31">
        <v>979</v>
      </c>
      <c r="G1701" s="32">
        <v>1125.92</v>
      </c>
      <c r="H1701" s="32"/>
      <c r="I1701" s="32">
        <f t="shared" si="27"/>
        <v>1125.92</v>
      </c>
      <c r="J1701" s="18" t="s">
        <v>1120</v>
      </c>
      <c r="K1701" s="33" t="s">
        <v>3865</v>
      </c>
      <c r="L1701" s="33" t="s">
        <v>3859</v>
      </c>
      <c r="M1701" s="33" t="s">
        <v>3860</v>
      </c>
      <c r="N1701" s="30" t="s">
        <v>3715</v>
      </c>
      <c r="O1701" s="33" t="s">
        <v>1854</v>
      </c>
      <c r="P1701" s="33" t="s">
        <v>3547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>
      <c r="A1702" s="30">
        <v>46169</v>
      </c>
      <c r="B1702" s="30">
        <v>46170</v>
      </c>
      <c r="C1702" s="31">
        <v>1173013</v>
      </c>
      <c r="D1702" s="30" t="str">
        <f>IFERROR(VLOOKUP(Tabela5[[#This Row],[PREFIXO ]],Tabela4[#All],2,0),"CENTRO DE CUSTO")</f>
        <v>TRAT PN MED N.HOLLAND 7630</v>
      </c>
      <c r="E1702" s="33" t="s">
        <v>255</v>
      </c>
      <c r="F1702" s="31">
        <v>981</v>
      </c>
      <c r="G1702" s="32">
        <v>1100</v>
      </c>
      <c r="H1702" s="32"/>
      <c r="I1702" s="32">
        <f t="shared" si="27"/>
        <v>1100</v>
      </c>
      <c r="J1702" s="18" t="s">
        <v>1120</v>
      </c>
      <c r="K1702" s="33" t="s">
        <v>3866</v>
      </c>
      <c r="L1702" s="33" t="s">
        <v>3859</v>
      </c>
      <c r="M1702" s="33" t="s">
        <v>3860</v>
      </c>
      <c r="N1702" s="30" t="s">
        <v>3715</v>
      </c>
      <c r="O1702" s="33" t="s">
        <v>1854</v>
      </c>
      <c r="P1702" s="33" t="s">
        <v>3547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>
      <c r="A1703" s="30">
        <v>46169</v>
      </c>
      <c r="B1703" s="30">
        <v>46170</v>
      </c>
      <c r="C1703" s="21">
        <v>15770028</v>
      </c>
      <c r="D1703" s="30" t="str">
        <f>IFERROR(VLOOKUP(Tabela5[[#This Row],[PREFIXO ]],Tabela4[#All],2,0),"CENTRO DE CUSTO")</f>
        <v>PLATAF ROÇAGEM WATANABE MAVERICK</v>
      </c>
      <c r="E1703" s="33" t="s">
        <v>255</v>
      </c>
      <c r="F1703" s="31">
        <v>980</v>
      </c>
      <c r="G1703" s="32">
        <v>900</v>
      </c>
      <c r="H1703" s="32"/>
      <c r="I1703" s="32">
        <f t="shared" si="27"/>
        <v>900</v>
      </c>
      <c r="J1703" s="18" t="s">
        <v>1120</v>
      </c>
      <c r="K1703" s="33" t="s">
        <v>3867</v>
      </c>
      <c r="L1703" s="33" t="s">
        <v>3859</v>
      </c>
      <c r="M1703" s="33" t="s">
        <v>3860</v>
      </c>
      <c r="N1703" s="30" t="s">
        <v>3715</v>
      </c>
      <c r="O1703" s="33" t="s">
        <v>1854</v>
      </c>
      <c r="P1703" s="33" t="s">
        <v>3547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>
      <c r="A1704" s="30">
        <v>46169</v>
      </c>
      <c r="B1704" s="16">
        <v>46170</v>
      </c>
      <c r="C1704" s="21">
        <v>11521004</v>
      </c>
      <c r="D1704" s="16" t="str">
        <f>IFERROR(VLOOKUP(Tabela5[[#This Row],[PREFIXO ]],Tabela4[#All],2,0),"CENTRO DE CUSTO")</f>
        <v>TRAT PN EXT PES CASE STEIGER 620</v>
      </c>
      <c r="E1704" s="18" t="s">
        <v>255</v>
      </c>
      <c r="F1704" s="21">
        <v>975</v>
      </c>
      <c r="G1704" s="22">
        <v>900</v>
      </c>
      <c r="H1704" s="22"/>
      <c r="I1704" s="22">
        <f t="shared" si="27"/>
        <v>900</v>
      </c>
      <c r="J1704" s="18" t="s">
        <v>1120</v>
      </c>
      <c r="K1704" s="18" t="s">
        <v>3868</v>
      </c>
      <c r="L1704" s="18" t="s">
        <v>3859</v>
      </c>
      <c r="M1704" s="18" t="s">
        <v>3860</v>
      </c>
      <c r="N1704" s="16" t="s">
        <v>3715</v>
      </c>
      <c r="O1704" s="18" t="s">
        <v>1854</v>
      </c>
      <c r="P1704" s="18" t="s">
        <v>3547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>
      <c r="A1705" s="30">
        <v>46169</v>
      </c>
      <c r="B1705" s="16">
        <v>46170</v>
      </c>
      <c r="C1705" s="21">
        <v>51521045</v>
      </c>
      <c r="D1705" s="16" t="str">
        <f>IFERROR(VLOOKUP(Tabela5[[#This Row],[PREFIXO ]],Tabela4[#All],2,0),"CENTRO DE CUSTO")</f>
        <v>COLHED ALGODÃO JOHN DEERE CP 690</v>
      </c>
      <c r="E1705" s="18" t="s">
        <v>255</v>
      </c>
      <c r="F1705" s="21">
        <v>978</v>
      </c>
      <c r="G1705" s="22">
        <v>400</v>
      </c>
      <c r="H1705" s="22"/>
      <c r="I1705" s="22">
        <f t="shared" si="27"/>
        <v>400</v>
      </c>
      <c r="J1705" s="18" t="s">
        <v>1120</v>
      </c>
      <c r="K1705" s="18" t="s">
        <v>3869</v>
      </c>
      <c r="L1705" s="18" t="s">
        <v>3859</v>
      </c>
      <c r="M1705" s="18" t="s">
        <v>3860</v>
      </c>
      <c r="N1705" s="16" t="s">
        <v>3715</v>
      </c>
      <c r="O1705" s="18" t="s">
        <v>1854</v>
      </c>
      <c r="P1705" s="18" t="s">
        <v>3547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>
      <c r="A1706" s="30">
        <v>46169</v>
      </c>
      <c r="B1706" s="16">
        <v>46177</v>
      </c>
      <c r="C1706" s="21">
        <v>31521018</v>
      </c>
      <c r="D1706" s="16" t="str">
        <f>IFERROR(VLOOKUP(Tabela5[[#This Row],[PREFIXO ]],Tabela4[#All],2,0),"CENTRO DE CUSTO")</f>
        <v>PULV AUTOPROP JACTO UNIPORT 3030</v>
      </c>
      <c r="E1706" s="18" t="s">
        <v>367</v>
      </c>
      <c r="F1706" s="21">
        <v>60</v>
      </c>
      <c r="G1706" s="22">
        <v>1498</v>
      </c>
      <c r="H1706" s="22"/>
      <c r="I1706" s="22">
        <f t="shared" si="27"/>
        <v>1498</v>
      </c>
      <c r="J1706" s="18" t="s">
        <v>1262</v>
      </c>
      <c r="K1706" s="18" t="s">
        <v>3870</v>
      </c>
      <c r="L1706" s="18" t="s">
        <v>3871</v>
      </c>
      <c r="M1706" s="18" t="s">
        <v>3872</v>
      </c>
      <c r="N1706" s="16" t="s">
        <v>3430</v>
      </c>
      <c r="O1706" s="18" t="s">
        <v>2880</v>
      </c>
      <c r="P1706" s="18" t="s">
        <v>3873</v>
      </c>
      <c r="Q1706" s="29" t="str" cm="1">
        <f t="array" ref="Q1706">_xlfn.IFS(
A1706="","",
AND(A1706&lt;&gt;"",B1706=""),"FALTA LANÇAMENTO",
AND(B1706&lt;&gt;"",M1706=""),"FALTA O PEDIDO",
AND(M1706&lt;&gt;"",O1706=""),"FALTA NF",
O1706&lt;&gt;"","CONCLUÍDO")</f>
        <v>CONCLUÍDO</v>
      </c>
      <c r="R1706" s="36"/>
    </row>
    <row r="1707" spans="1:18">
      <c r="A1707" s="30">
        <v>46195</v>
      </c>
      <c r="B1707" s="16">
        <v>46198</v>
      </c>
      <c r="C1707" s="21">
        <v>51521066</v>
      </c>
      <c r="D1707" s="16" t="str">
        <f>IFERROR(VLOOKUP(Tabela5[[#This Row],[PREFIXO ]],Tabela4[#All],2,0),"CENTRO DE CUSTO")</f>
        <v>COLHED ALGODÃO JOHN DEERE CP 690</v>
      </c>
      <c r="E1707" s="18" t="s">
        <v>255</v>
      </c>
      <c r="F1707" s="21">
        <v>999</v>
      </c>
      <c r="G1707" s="22">
        <v>1600</v>
      </c>
      <c r="H1707" s="22"/>
      <c r="I1707" s="22">
        <f t="shared" si="27"/>
        <v>1600</v>
      </c>
      <c r="J1707" s="18" t="s">
        <v>1120</v>
      </c>
      <c r="K1707" s="18" t="s">
        <v>3874</v>
      </c>
      <c r="L1707" s="18" t="s">
        <v>3796</v>
      </c>
      <c r="M1707" s="18" t="s">
        <v>3797</v>
      </c>
      <c r="N1707" s="16">
        <v>46199</v>
      </c>
      <c r="O1707" s="18" t="s">
        <v>3323</v>
      </c>
      <c r="P1707" s="18" t="s">
        <v>3655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>
      <c r="A1708" s="30">
        <v>46175</v>
      </c>
      <c r="B1708" s="16">
        <v>46184</v>
      </c>
      <c r="C1708" s="21">
        <v>500580263</v>
      </c>
      <c r="D1708" s="16" t="str">
        <f>IFERROR(VLOOKUP(Tabela5[[#This Row],[PREFIXO ]],Tabela4[#All],2,0),"CENTRO DE CUSTO")</f>
        <v>Colheit. Grãos-Axial</v>
      </c>
      <c r="E1708" s="18" t="s">
        <v>293</v>
      </c>
      <c r="F1708" s="21">
        <v>60</v>
      </c>
      <c r="G1708" s="22">
        <v>29132</v>
      </c>
      <c r="H1708" s="22"/>
      <c r="I1708" s="22">
        <f t="shared" si="27"/>
        <v>29132</v>
      </c>
      <c r="J1708" s="18" t="s">
        <v>1110</v>
      </c>
      <c r="K1708" s="18" t="s">
        <v>3875</v>
      </c>
      <c r="L1708" s="18" t="s">
        <v>3876</v>
      </c>
      <c r="M1708" s="18">
        <v>41887271</v>
      </c>
      <c r="N1708" s="16">
        <v>46185</v>
      </c>
      <c r="O1708" s="18" t="s">
        <v>3444</v>
      </c>
      <c r="P1708" s="18" t="s">
        <v>3281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>
      <c r="A1709" s="30">
        <v>46175</v>
      </c>
      <c r="B1709" s="16">
        <v>46178</v>
      </c>
      <c r="C1709" s="21">
        <v>51519055</v>
      </c>
      <c r="D1709" s="16" t="str">
        <f>IFERROR(VLOOKUP(Tabela5[[#This Row],[PREFIXO ]],Tabela4[#All],2,0),"CENTRO DE CUSTO")</f>
        <v>COLHED ALGODÃO JOHN DEERE CP 770</v>
      </c>
      <c r="E1709" s="18" t="s">
        <v>16</v>
      </c>
      <c r="F1709" s="21">
        <v>479</v>
      </c>
      <c r="G1709" s="22">
        <v>29920</v>
      </c>
      <c r="H1709" s="22"/>
      <c r="I1709" s="22">
        <f t="shared" si="27"/>
        <v>29920</v>
      </c>
      <c r="J1709" s="18" t="s">
        <v>1120</v>
      </c>
      <c r="K1709" s="18" t="s">
        <v>3877</v>
      </c>
      <c r="L1709" s="18" t="s">
        <v>3878</v>
      </c>
      <c r="M1709" s="18">
        <v>41882123</v>
      </c>
      <c r="N1709" s="16">
        <v>46178</v>
      </c>
      <c r="O1709" s="18" t="s">
        <v>2763</v>
      </c>
      <c r="P1709" s="18" t="s">
        <v>3879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>
      <c r="A1710" s="30">
        <v>46175</v>
      </c>
      <c r="B1710" s="16">
        <v>46188</v>
      </c>
      <c r="C1710" s="21">
        <v>51519059</v>
      </c>
      <c r="D1710" s="16" t="str">
        <f>IFERROR(VLOOKUP(Tabela5[[#This Row],[PREFIXO ]],Tabela4[#All],2,0),"CENTRO DE CUSTO")</f>
        <v>CENTRO DE CUSTO</v>
      </c>
      <c r="E1710" s="18" t="s">
        <v>16</v>
      </c>
      <c r="F1710" s="21">
        <v>480</v>
      </c>
      <c r="G1710" s="22">
        <v>29920</v>
      </c>
      <c r="H1710" s="22"/>
      <c r="I1710" s="22">
        <f t="shared" si="27"/>
        <v>29920</v>
      </c>
      <c r="J1710" s="18" t="s">
        <v>1120</v>
      </c>
      <c r="K1710" s="18" t="s">
        <v>3880</v>
      </c>
      <c r="L1710" s="18" t="s">
        <v>3881</v>
      </c>
      <c r="M1710" s="18">
        <v>41889230</v>
      </c>
      <c r="N1710" s="16">
        <v>46189</v>
      </c>
      <c r="O1710" s="18" t="s">
        <v>2682</v>
      </c>
      <c r="P1710" s="18" t="s">
        <v>3873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>
      <c r="A1711" s="30">
        <v>46175</v>
      </c>
      <c r="B1711" s="16">
        <v>46178</v>
      </c>
      <c r="C1711" s="21">
        <v>51521071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473</v>
      </c>
      <c r="G1711" s="22">
        <v>7980</v>
      </c>
      <c r="H1711" s="22"/>
      <c r="I1711" s="22">
        <f t="shared" si="27"/>
        <v>7980</v>
      </c>
      <c r="J1711" s="18" t="s">
        <v>1120</v>
      </c>
      <c r="K1711" s="18" t="s">
        <v>3882</v>
      </c>
      <c r="L1711" s="18" t="s">
        <v>3878</v>
      </c>
      <c r="M1711" s="18">
        <v>41882123</v>
      </c>
      <c r="N1711" s="16">
        <v>46178</v>
      </c>
      <c r="O1711" s="18" t="s">
        <v>2763</v>
      </c>
      <c r="P1711" s="18" t="s">
        <v>3879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>
      <c r="A1712" s="30">
        <v>46175</v>
      </c>
      <c r="B1712" s="16">
        <v>46178</v>
      </c>
      <c r="C1712" s="21">
        <v>51521048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474</v>
      </c>
      <c r="G1712" s="22">
        <v>7980</v>
      </c>
      <c r="H1712" s="22"/>
      <c r="I1712" s="22">
        <f t="shared" si="27"/>
        <v>7980</v>
      </c>
      <c r="J1712" s="18" t="s">
        <v>1120</v>
      </c>
      <c r="K1712" s="18" t="s">
        <v>3883</v>
      </c>
      <c r="L1712" s="18" t="s">
        <v>3878</v>
      </c>
      <c r="M1712" s="18">
        <v>41882123</v>
      </c>
      <c r="N1712" s="16">
        <v>46178</v>
      </c>
      <c r="O1712" s="18" t="s">
        <v>2763</v>
      </c>
      <c r="P1712" s="18" t="s">
        <v>3879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>
      <c r="A1713" s="30">
        <v>46175</v>
      </c>
      <c r="B1713" s="16">
        <v>46178</v>
      </c>
      <c r="C1713" s="21">
        <v>51521060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475</v>
      </c>
      <c r="G1713" s="22">
        <v>7980</v>
      </c>
      <c r="H1713" s="22"/>
      <c r="I1713" s="22">
        <f t="shared" si="27"/>
        <v>7980</v>
      </c>
      <c r="J1713" s="18" t="s">
        <v>1120</v>
      </c>
      <c r="K1713" s="18" t="s">
        <v>3884</v>
      </c>
      <c r="L1713" s="18" t="s">
        <v>3878</v>
      </c>
      <c r="M1713" s="18">
        <v>41882123</v>
      </c>
      <c r="N1713" s="16">
        <v>46178</v>
      </c>
      <c r="O1713" s="18" t="s">
        <v>2763</v>
      </c>
      <c r="P1713" s="18" t="s">
        <v>3879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>
      <c r="A1714" s="30">
        <v>46175</v>
      </c>
      <c r="B1714" s="16">
        <v>46178</v>
      </c>
      <c r="C1714" s="21">
        <v>51521054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476</v>
      </c>
      <c r="G1714" s="22">
        <v>7980</v>
      </c>
      <c r="H1714" s="22"/>
      <c r="I1714" s="22">
        <f t="shared" si="27"/>
        <v>7980</v>
      </c>
      <c r="J1714" s="18" t="s">
        <v>1120</v>
      </c>
      <c r="K1714" s="18" t="s">
        <v>3885</v>
      </c>
      <c r="L1714" s="18" t="s">
        <v>3878</v>
      </c>
      <c r="M1714" s="18">
        <v>41882123</v>
      </c>
      <c r="N1714" s="16">
        <v>46178</v>
      </c>
      <c r="O1714" s="18" t="s">
        <v>2763</v>
      </c>
      <c r="P1714" s="18" t="s">
        <v>3879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>
      <c r="A1715" s="30">
        <v>46175</v>
      </c>
      <c r="B1715" s="16">
        <v>46178</v>
      </c>
      <c r="C1715" s="21">
        <v>51521053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477</v>
      </c>
      <c r="G1715" s="22">
        <v>7980</v>
      </c>
      <c r="H1715" s="22"/>
      <c r="I1715" s="22">
        <f t="shared" si="27"/>
        <v>7980</v>
      </c>
      <c r="J1715" s="18" t="s">
        <v>1120</v>
      </c>
      <c r="K1715" s="18" t="s">
        <v>3886</v>
      </c>
      <c r="L1715" s="18" t="s">
        <v>3878</v>
      </c>
      <c r="M1715" s="18">
        <v>41882123</v>
      </c>
      <c r="N1715" s="16">
        <v>46178</v>
      </c>
      <c r="O1715" s="18" t="s">
        <v>2763</v>
      </c>
      <c r="P1715" s="18" t="s">
        <v>3879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>
      <c r="A1716" s="30">
        <v>46175</v>
      </c>
      <c r="B1716" s="16">
        <v>46178</v>
      </c>
      <c r="C1716" s="21">
        <v>51521059</v>
      </c>
      <c r="D1716" s="16" t="str">
        <f>IFERROR(VLOOKUP(Tabela5[[#This Row],[PREFIXO ]],Tabela4[#All],2,0),"CENTRO DE CUSTO")</f>
        <v>COLHED ALGODÃO JOHN DEERE CP 690</v>
      </c>
      <c r="E1716" s="18" t="s">
        <v>16</v>
      </c>
      <c r="F1716" s="21">
        <v>478</v>
      </c>
      <c r="G1716" s="22">
        <v>7980</v>
      </c>
      <c r="H1716" s="22"/>
      <c r="I1716" s="22">
        <f t="shared" si="27"/>
        <v>7980</v>
      </c>
      <c r="J1716" s="18" t="s">
        <v>1120</v>
      </c>
      <c r="K1716" s="18" t="s">
        <v>3887</v>
      </c>
      <c r="L1716" s="18" t="s">
        <v>3878</v>
      </c>
      <c r="M1716" s="18">
        <v>41882123</v>
      </c>
      <c r="N1716" s="16">
        <v>46178</v>
      </c>
      <c r="O1716" s="18" t="s">
        <v>2763</v>
      </c>
      <c r="P1716" s="18" t="s">
        <v>3879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>
      <c r="A1717" s="30">
        <v>46195</v>
      </c>
      <c r="B1717" s="16">
        <v>46198</v>
      </c>
      <c r="C1717" s="21" t="s">
        <v>3888</v>
      </c>
      <c r="D1717" s="16" t="str">
        <f>IFERROR(VLOOKUP(Tabela5[[#This Row],[PREFIXO ]],Tabela4[#All],2,0),"CENTRO DE CUSTO")</f>
        <v>CENTRO DE CUSTO</v>
      </c>
      <c r="E1717" s="18" t="s">
        <v>255</v>
      </c>
      <c r="F1717" s="21">
        <v>1001</v>
      </c>
      <c r="G1717" s="22">
        <v>2500</v>
      </c>
      <c r="H1717" s="22"/>
      <c r="I1717" s="22">
        <f t="shared" si="27"/>
        <v>2500</v>
      </c>
      <c r="J1717" s="18" t="s">
        <v>1120</v>
      </c>
      <c r="K1717" s="18" t="s">
        <v>3889</v>
      </c>
      <c r="L1717" s="18" t="s">
        <v>3796</v>
      </c>
      <c r="M1717" s="18" t="s">
        <v>3797</v>
      </c>
      <c r="N1717" s="16">
        <v>46199</v>
      </c>
      <c r="O1717" s="18" t="s">
        <v>3323</v>
      </c>
      <c r="P1717" s="18" t="s">
        <v>3655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>
      <c r="A1718" s="30">
        <v>46195</v>
      </c>
      <c r="B1718" s="16">
        <v>46198</v>
      </c>
      <c r="C1718" s="21" t="s">
        <v>3890</v>
      </c>
      <c r="D1718" s="16" t="str">
        <f>IFERROR(VLOOKUP(Tabela5[[#This Row],[PREFIXO ]],Tabela4[#All],2,0),"CENTRO DE CUSTO")</f>
        <v>CENTRO DE CUSTO</v>
      </c>
      <c r="E1718" s="18" t="s">
        <v>255</v>
      </c>
      <c r="F1718" s="21">
        <v>1002</v>
      </c>
      <c r="G1718" s="22">
        <v>2500</v>
      </c>
      <c r="H1718" s="22"/>
      <c r="I1718" s="22">
        <f t="shared" si="27"/>
        <v>2500</v>
      </c>
      <c r="J1718" s="18" t="s">
        <v>1120</v>
      </c>
      <c r="K1718" s="18" t="s">
        <v>3891</v>
      </c>
      <c r="L1718" s="18" t="s">
        <v>3796</v>
      </c>
      <c r="M1718" s="18" t="s">
        <v>3797</v>
      </c>
      <c r="N1718" s="16">
        <v>46199</v>
      </c>
      <c r="O1718" s="18" t="s">
        <v>3323</v>
      </c>
      <c r="P1718" s="18" t="s">
        <v>3655</v>
      </c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CONCLUÍDO</v>
      </c>
      <c r="R1718" s="36"/>
    </row>
    <row r="1719" spans="1:18">
      <c r="A1719" s="30">
        <v>46175</v>
      </c>
      <c r="B1719" s="30">
        <v>46181</v>
      </c>
      <c r="C1719" s="31">
        <v>61521041</v>
      </c>
      <c r="D1719" s="30" t="str">
        <f>IFERROR(VLOOKUP(Tabela5[[#This Row],[PREFIXO ]],Tabela4[#All],2,0),"CENTRO DE CUSTO")</f>
        <v>ONIB RODOVIÁRIO MASCARELLO GRAN MIDI</v>
      </c>
      <c r="E1719" s="18" t="s">
        <v>24</v>
      </c>
      <c r="F1719" s="31" t="s">
        <v>3892</v>
      </c>
      <c r="G1719" s="32">
        <v>1980</v>
      </c>
      <c r="H1719" s="32">
        <v>58.5</v>
      </c>
      <c r="I1719" s="32">
        <f t="shared" si="27"/>
        <v>2038.5</v>
      </c>
      <c r="J1719" s="18" t="s">
        <v>1082</v>
      </c>
      <c r="K1719" s="33" t="s">
        <v>3893</v>
      </c>
      <c r="L1719" s="33" t="s">
        <v>3894</v>
      </c>
      <c r="M1719" s="33" t="s">
        <v>3895</v>
      </c>
      <c r="N1719" s="30">
        <v>46182</v>
      </c>
      <c r="O1719" s="33" t="s">
        <v>3896</v>
      </c>
      <c r="P1719" s="33" t="s">
        <v>3415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>
      <c r="A1720" s="30">
        <v>46195</v>
      </c>
      <c r="B1720" s="16">
        <v>46198</v>
      </c>
      <c r="C1720" s="31">
        <v>11521025</v>
      </c>
      <c r="D1720" s="30" t="str">
        <f>IFERROR(VLOOKUP(Tabela5[[#This Row],[PREFIXO ]],Tabela4[#All],2,0),"CENTRO DE CUSTO")</f>
        <v>TRAT PN MED CASE PUMA 140</v>
      </c>
      <c r="E1720" s="33" t="s">
        <v>359</v>
      </c>
      <c r="F1720" s="31" t="s">
        <v>3897</v>
      </c>
      <c r="G1720" s="32">
        <v>1500</v>
      </c>
      <c r="H1720" s="32"/>
      <c r="I1720" s="32">
        <f t="shared" si="27"/>
        <v>1500</v>
      </c>
      <c r="J1720" s="18" t="s">
        <v>1196</v>
      </c>
      <c r="K1720" s="33" t="s">
        <v>3898</v>
      </c>
      <c r="L1720" s="18" t="s">
        <v>3899</v>
      </c>
      <c r="M1720" s="33" t="s">
        <v>3900</v>
      </c>
      <c r="N1720" s="30">
        <v>46198</v>
      </c>
      <c r="O1720" s="33" t="s">
        <v>3901</v>
      </c>
      <c r="P1720" s="18" t="s">
        <v>3655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>
      <c r="A1721" s="30">
        <v>46175</v>
      </c>
      <c r="B1721" s="16">
        <v>46184</v>
      </c>
      <c r="C1721" s="31">
        <v>12060004</v>
      </c>
      <c r="D1721" s="30" t="str">
        <f>IFERROR(VLOOKUP(Tabela5[[#This Row],[PREFIXO ]],Tabela4[#All],2,0),"CENTRO DE CUSTO")</f>
        <v>ONIB RODOVIÁRIO MARCOPOLO NEOBUS MEGA</v>
      </c>
      <c r="E1721" s="33" t="s">
        <v>24</v>
      </c>
      <c r="F1721" s="31">
        <v>17363</v>
      </c>
      <c r="G1721" s="32">
        <v>445.5</v>
      </c>
      <c r="H1721" s="32"/>
      <c r="I1721" s="32">
        <f t="shared" si="27"/>
        <v>445.5</v>
      </c>
      <c r="J1721" s="18" t="s">
        <v>1082</v>
      </c>
      <c r="K1721" s="33" t="s">
        <v>3902</v>
      </c>
      <c r="L1721" s="18" t="s">
        <v>3903</v>
      </c>
      <c r="M1721" s="33" t="s">
        <v>3904</v>
      </c>
      <c r="N1721" s="30">
        <v>46186</v>
      </c>
      <c r="O1721" s="33" t="s">
        <v>3905</v>
      </c>
      <c r="P1721" s="33" t="s">
        <v>3806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>
      <c r="A1722" s="30">
        <v>46195</v>
      </c>
      <c r="B1722" s="16">
        <v>46198</v>
      </c>
      <c r="C1722" s="31">
        <v>1173019</v>
      </c>
      <c r="D1722" s="30" t="str">
        <f>IFERROR(VLOOKUP(Tabela5[[#This Row],[PREFIXO ]],Tabela4[#All],2,0),"CENTRO DE CUSTO")</f>
        <v>TRAT PN MED N.HOLLAND 7630</v>
      </c>
      <c r="E1722" s="33" t="s">
        <v>359</v>
      </c>
      <c r="F1722" s="31" t="s">
        <v>3906</v>
      </c>
      <c r="G1722" s="32">
        <v>1184.4000000000001</v>
      </c>
      <c r="H1722" s="32"/>
      <c r="I1722" s="32">
        <f t="shared" si="27"/>
        <v>1184.4000000000001</v>
      </c>
      <c r="J1722" s="18" t="s">
        <v>1196</v>
      </c>
      <c r="K1722" s="33" t="s">
        <v>3907</v>
      </c>
      <c r="L1722" s="18" t="s">
        <v>3899</v>
      </c>
      <c r="M1722" s="33" t="s">
        <v>3900</v>
      </c>
      <c r="N1722" s="30">
        <v>46198</v>
      </c>
      <c r="O1722" s="33" t="s">
        <v>3901</v>
      </c>
      <c r="P1722" s="18" t="s">
        <v>3655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>
      <c r="A1723" s="30">
        <v>46175</v>
      </c>
      <c r="B1723" s="16">
        <v>46197</v>
      </c>
      <c r="C1723" s="31">
        <v>61521083</v>
      </c>
      <c r="D1723" s="30" t="str">
        <f>IFERROR(VLOOKUP(Tabela5[[#This Row],[PREFIXO ]],Tabela4[#All],2,0),"CENTRO DE CUSTO")</f>
        <v>CAM COMBOIO VOLVO VM 330</v>
      </c>
      <c r="E1723" s="33" t="s">
        <v>29</v>
      </c>
      <c r="F1723" s="31">
        <v>55710</v>
      </c>
      <c r="G1723" s="32">
        <v>7628</v>
      </c>
      <c r="H1723" s="32">
        <v>32462</v>
      </c>
      <c r="I1723" s="32">
        <f t="shared" si="27"/>
        <v>40090</v>
      </c>
      <c r="J1723" s="18" t="s">
        <v>1082</v>
      </c>
      <c r="K1723" s="33" t="s">
        <v>3908</v>
      </c>
      <c r="L1723" s="18" t="s">
        <v>3909</v>
      </c>
      <c r="M1723" s="33" t="s">
        <v>3910</v>
      </c>
      <c r="N1723" s="30">
        <v>46213</v>
      </c>
      <c r="O1723" s="33"/>
      <c r="P1723" s="33"/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FALTA NF</v>
      </c>
      <c r="R1723" s="37"/>
    </row>
    <row r="1724" spans="1:18">
      <c r="A1724" s="30">
        <v>46175</v>
      </c>
      <c r="B1724" s="16">
        <v>46175</v>
      </c>
      <c r="C1724" s="31">
        <v>11040008</v>
      </c>
      <c r="D1724" s="30" t="s">
        <v>724</v>
      </c>
      <c r="E1724" s="33" t="s">
        <v>29</v>
      </c>
      <c r="F1724" s="31">
        <v>55632</v>
      </c>
      <c r="G1724" s="32">
        <v>5808</v>
      </c>
      <c r="H1724" s="32">
        <v>15380.73</v>
      </c>
      <c r="I1724" s="32">
        <f t="shared" si="27"/>
        <v>21188.73</v>
      </c>
      <c r="J1724" s="33" t="s">
        <v>1082</v>
      </c>
      <c r="K1724" s="33" t="s">
        <v>3911</v>
      </c>
      <c r="L1724" s="18" t="s">
        <v>3912</v>
      </c>
      <c r="M1724" s="33" t="s">
        <v>3913</v>
      </c>
      <c r="N1724" s="30" t="s">
        <v>3521</v>
      </c>
      <c r="O1724" s="33" t="s">
        <v>3914</v>
      </c>
      <c r="P1724" s="33" t="s">
        <v>3850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>
      <c r="A1725" s="30">
        <v>46175</v>
      </c>
      <c r="B1725" s="16">
        <v>46181</v>
      </c>
      <c r="C1725" s="31">
        <v>61521008</v>
      </c>
      <c r="D1725" s="30" t="str">
        <f>IFERROR(VLOOKUP(Tabela5[[#This Row],[PREFIXO ]],Tabela4[#All],2,0),"CENTRO DE CUSTO")</f>
        <v>CAV MEC PES MERC BENZ AXOR 2644</v>
      </c>
      <c r="E1725" s="33" t="s">
        <v>29</v>
      </c>
      <c r="F1725" s="31">
        <v>55619</v>
      </c>
      <c r="G1725" s="32">
        <v>3996</v>
      </c>
      <c r="H1725" s="32">
        <v>8945.51</v>
      </c>
      <c r="I1725" s="32">
        <f t="shared" ref="I1725:I1788" si="28">G1725+H1725</f>
        <v>12941.51</v>
      </c>
      <c r="J1725" s="33" t="s">
        <v>1082</v>
      </c>
      <c r="K1725" s="33" t="s">
        <v>3915</v>
      </c>
      <c r="L1725" s="18" t="s">
        <v>3916</v>
      </c>
      <c r="M1725" s="33">
        <v>41884152</v>
      </c>
      <c r="N1725" s="30">
        <v>46182</v>
      </c>
      <c r="O1725" s="33" t="s">
        <v>3917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>
      <c r="A1726" s="30">
        <v>46175</v>
      </c>
      <c r="B1726" s="30">
        <v>46181</v>
      </c>
      <c r="C1726" s="31">
        <v>8172116</v>
      </c>
      <c r="D1726" s="30" t="str">
        <f>IFERROR(VLOOKUP(Tabela5[[#This Row],[PREFIXO ]],Tabela4[#All],2,0),"CENTRO DE CUSTO")</f>
        <v>SEMI REBOQUE TANQUE RANDON 22.000L</v>
      </c>
      <c r="E1726" s="33" t="s">
        <v>29</v>
      </c>
      <c r="F1726" s="31">
        <v>55845</v>
      </c>
      <c r="G1726" s="32">
        <v>200</v>
      </c>
      <c r="H1726" s="32">
        <v>2862.3</v>
      </c>
      <c r="I1726" s="32">
        <f t="shared" si="28"/>
        <v>3062.3</v>
      </c>
      <c r="J1726" s="33" t="s">
        <v>1082</v>
      </c>
      <c r="K1726" s="33" t="s">
        <v>3918</v>
      </c>
      <c r="L1726" s="33" t="s">
        <v>3919</v>
      </c>
      <c r="M1726" s="33">
        <v>41884151</v>
      </c>
      <c r="N1726" s="30">
        <v>46182</v>
      </c>
      <c r="O1726" s="33" t="s">
        <v>3920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>
      <c r="A1727" s="30">
        <v>46175</v>
      </c>
      <c r="B1727" s="30">
        <v>46181</v>
      </c>
      <c r="C1727" s="31">
        <v>8172116</v>
      </c>
      <c r="D1727" s="30" t="str">
        <f>IFERROR(VLOOKUP(Tabela5[[#This Row],[PREFIXO ]],Tabela4[#All],2,0),"CENTRO DE CUSTO")</f>
        <v>SEMI REBOQUE TANQUE RANDON 22.000L</v>
      </c>
      <c r="E1727" s="33" t="s">
        <v>29</v>
      </c>
      <c r="F1727" s="31">
        <v>55895</v>
      </c>
      <c r="G1727" s="32">
        <v>100</v>
      </c>
      <c r="H1727" s="32">
        <v>1579.2</v>
      </c>
      <c r="I1727" s="32">
        <f t="shared" si="28"/>
        <v>1679.2</v>
      </c>
      <c r="J1727" s="33" t="s">
        <v>1082</v>
      </c>
      <c r="K1727" s="33" t="s">
        <v>3921</v>
      </c>
      <c r="L1727" s="33" t="s">
        <v>3922</v>
      </c>
      <c r="M1727" s="33">
        <v>41883262</v>
      </c>
      <c r="N1727" s="30">
        <v>46181</v>
      </c>
      <c r="O1727" s="33" t="s">
        <v>3923</v>
      </c>
      <c r="P1727" s="33" t="s">
        <v>3284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>
      <c r="A1728" s="30">
        <v>46175</v>
      </c>
      <c r="B1728" s="30">
        <v>46181</v>
      </c>
      <c r="C1728" s="31">
        <v>61521030</v>
      </c>
      <c r="D1728" s="30" t="str">
        <f>IFERROR(VLOOKUP(Tabela5[[#This Row],[PREFIXO ]],Tabela4[#All],2,0),"CENTRO DE CUSTO")</f>
        <v>CAV MEC PES MERC BENZ ACTRO 2651</v>
      </c>
      <c r="E1728" s="33" t="s">
        <v>29</v>
      </c>
      <c r="F1728" s="31">
        <v>55847</v>
      </c>
      <c r="G1728" s="32">
        <v>1130</v>
      </c>
      <c r="H1728" s="32">
        <v>253.63</v>
      </c>
      <c r="I1728" s="32">
        <f t="shared" si="28"/>
        <v>1383.63</v>
      </c>
      <c r="J1728" s="33" t="s">
        <v>1082</v>
      </c>
      <c r="K1728" s="33" t="s">
        <v>3924</v>
      </c>
      <c r="L1728" s="33" t="s">
        <v>3925</v>
      </c>
      <c r="M1728" s="33">
        <v>41883261</v>
      </c>
      <c r="N1728" s="30">
        <v>46181</v>
      </c>
      <c r="O1728" s="33" t="s">
        <v>3926</v>
      </c>
      <c r="P1728" s="33" t="s">
        <v>3284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>
      <c r="A1729" s="30">
        <v>46175</v>
      </c>
      <c r="B1729" s="30">
        <v>46181</v>
      </c>
      <c r="C1729" s="31">
        <v>61521062</v>
      </c>
      <c r="D1729" s="30" t="str">
        <f>IFERROR(VLOOKUP(Tabela5[[#This Row],[PREFIXO ]],Tabela4[#All],2,0),"CENTRO DE CUSTO")</f>
        <v>ONIB RODOVIÁRIO MERC BENZ MARCOPOLO TORI</v>
      </c>
      <c r="E1729" s="33" t="s">
        <v>29</v>
      </c>
      <c r="F1729" s="31">
        <v>55793</v>
      </c>
      <c r="G1729" s="32">
        <v>100</v>
      </c>
      <c r="H1729" s="32">
        <v>1214.51</v>
      </c>
      <c r="I1729" s="32">
        <f t="shared" si="28"/>
        <v>1314.51</v>
      </c>
      <c r="J1729" s="33" t="s">
        <v>1082</v>
      </c>
      <c r="K1729" s="33" t="s">
        <v>3927</v>
      </c>
      <c r="L1729" s="33" t="s">
        <v>3928</v>
      </c>
      <c r="M1729" s="33">
        <v>41883260</v>
      </c>
      <c r="N1729" s="30">
        <v>46181</v>
      </c>
      <c r="O1729" s="33" t="s">
        <v>3929</v>
      </c>
      <c r="P1729" s="33" t="s">
        <v>3930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>
      <c r="A1730" s="30">
        <v>46175</v>
      </c>
      <c r="B1730" s="30">
        <v>46181</v>
      </c>
      <c r="C1730" s="31">
        <v>61521012</v>
      </c>
      <c r="D1730" s="30" t="str">
        <f>IFERROR(VLOOKUP(Tabela5[[#This Row],[PREFIXO ]],Tabela4[#All],2,0),"CENTRO DE CUSTO")</f>
        <v>CAM COMBOIO MERC BENZ ATRON 2729</v>
      </c>
      <c r="E1730" s="33" t="s">
        <v>29</v>
      </c>
      <c r="F1730" s="31">
        <v>55877</v>
      </c>
      <c r="G1730" s="32">
        <v>95</v>
      </c>
      <c r="H1730" s="32">
        <v>1151.69</v>
      </c>
      <c r="I1730" s="32">
        <f t="shared" si="28"/>
        <v>1246.69</v>
      </c>
      <c r="J1730" s="33" t="s">
        <v>1082</v>
      </c>
      <c r="K1730" s="33" t="s">
        <v>3931</v>
      </c>
      <c r="L1730" s="33" t="s">
        <v>3932</v>
      </c>
      <c r="M1730" s="33">
        <v>41884078</v>
      </c>
      <c r="N1730" s="30">
        <v>46182</v>
      </c>
      <c r="O1730" s="33" t="s">
        <v>3933</v>
      </c>
      <c r="P1730" s="33" t="s">
        <v>3680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>
      <c r="A1731" s="30">
        <v>46175</v>
      </c>
      <c r="B1731" s="30">
        <v>46181</v>
      </c>
      <c r="C1731" s="31">
        <v>11040017</v>
      </c>
      <c r="D1731" s="30" t="str">
        <f>IFERROR(VLOOKUP(Tabela5[[#This Row],[PREFIXO ]],Tabela4[#All],2,0),"CENTRO DE CUSTO")</f>
        <v>CAV MEC EXT PES SCANIA R500</v>
      </c>
      <c r="E1731" s="33" t="s">
        <v>29</v>
      </c>
      <c r="F1731" s="31">
        <v>55829</v>
      </c>
      <c r="G1731" s="32">
        <v>680</v>
      </c>
      <c r="H1731" s="32">
        <v>341.88</v>
      </c>
      <c r="I1731" s="32">
        <f t="shared" si="28"/>
        <v>1021.88</v>
      </c>
      <c r="J1731" s="33" t="s">
        <v>1082</v>
      </c>
      <c r="K1731" s="33" t="s">
        <v>3934</v>
      </c>
      <c r="L1731" s="33" t="s">
        <v>3935</v>
      </c>
      <c r="M1731" s="33">
        <v>41884077</v>
      </c>
      <c r="N1731" s="30">
        <v>46182</v>
      </c>
      <c r="O1731" s="33" t="s">
        <v>3936</v>
      </c>
      <c r="P1731" s="33" t="s">
        <v>3680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>
      <c r="A1732" s="30">
        <v>46175</v>
      </c>
      <c r="B1732" s="30">
        <v>46181</v>
      </c>
      <c r="C1732" s="31">
        <v>61521041</v>
      </c>
      <c r="D1732" s="30" t="str">
        <f>IFERROR(VLOOKUP(Tabela5[[#This Row],[PREFIXO ]],Tabela4[#All],2,0),"CENTRO DE CUSTO")</f>
        <v>ONIB RODOVIÁRIO MASCARELLO GRAN MIDI</v>
      </c>
      <c r="E1732" s="33" t="s">
        <v>29</v>
      </c>
      <c r="F1732" s="31">
        <v>55863</v>
      </c>
      <c r="G1732" s="32">
        <v>100</v>
      </c>
      <c r="H1732" s="32">
        <v>841.3</v>
      </c>
      <c r="I1732" s="32">
        <f t="shared" si="28"/>
        <v>941.3</v>
      </c>
      <c r="J1732" s="33" t="s">
        <v>1082</v>
      </c>
      <c r="K1732" s="33" t="s">
        <v>3937</v>
      </c>
      <c r="L1732" s="33" t="s">
        <v>3938</v>
      </c>
      <c r="M1732" s="33">
        <v>41883258</v>
      </c>
      <c r="N1732" s="30">
        <v>46181</v>
      </c>
      <c r="O1732" s="33" t="s">
        <v>3939</v>
      </c>
      <c r="P1732" s="33" t="s">
        <v>3284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>
      <c r="A1733" s="30">
        <v>46195</v>
      </c>
      <c r="B1733" s="30">
        <v>46198</v>
      </c>
      <c r="C1733" s="31">
        <v>8181121</v>
      </c>
      <c r="D1733" s="30" t="str">
        <f>IFERROR(VLOOKUP(Tabela5[[#This Row],[PREFIXO ]],Tabela4[#All],2,0),"CENTRO DE CUSTO")</f>
        <v>SULCADOR POWER 4,5 540RPM</v>
      </c>
      <c r="E1733" s="18" t="s">
        <v>359</v>
      </c>
      <c r="F1733" s="31" t="s">
        <v>3940</v>
      </c>
      <c r="G1733" s="32">
        <v>1879.2</v>
      </c>
      <c r="H1733" s="32"/>
      <c r="I1733" s="32">
        <f t="shared" si="28"/>
        <v>1879.2</v>
      </c>
      <c r="J1733" s="33" t="s">
        <v>1196</v>
      </c>
      <c r="K1733" s="33" t="s">
        <v>3941</v>
      </c>
      <c r="L1733" s="33" t="s">
        <v>3899</v>
      </c>
      <c r="M1733" s="33" t="s">
        <v>3900</v>
      </c>
      <c r="N1733" s="30">
        <v>46198</v>
      </c>
      <c r="O1733" s="33" t="s">
        <v>3901</v>
      </c>
      <c r="P1733" s="18" t="s">
        <v>3655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>
      <c r="A1734" s="30">
        <v>46175</v>
      </c>
      <c r="B1734" s="30">
        <v>46181</v>
      </c>
      <c r="C1734" s="31">
        <v>16170008</v>
      </c>
      <c r="D1734" s="30" t="str">
        <f>IFERROR(VLOOKUP(Tabela5[[#This Row],[PREFIXO ]],Tabela4[#All],2,0),"CENTRO DE CUSTO")</f>
        <v>SR TANQUE RODOTECNIC SRT TQ2 INOX</v>
      </c>
      <c r="E1734" s="33" t="s">
        <v>29</v>
      </c>
      <c r="F1734" s="31">
        <v>55699</v>
      </c>
      <c r="G1734" s="32">
        <v>70</v>
      </c>
      <c r="H1734" s="32">
        <v>164.39</v>
      </c>
      <c r="I1734" s="32">
        <f t="shared" si="28"/>
        <v>234.39</v>
      </c>
      <c r="J1734" s="33" t="s">
        <v>1082</v>
      </c>
      <c r="K1734" s="33" t="s">
        <v>3942</v>
      </c>
      <c r="L1734" s="33" t="s">
        <v>3943</v>
      </c>
      <c r="M1734" s="33" t="s">
        <v>3944</v>
      </c>
      <c r="N1734" s="30" t="s">
        <v>3419</v>
      </c>
      <c r="O1734" s="33" t="s">
        <v>3945</v>
      </c>
      <c r="P1734" s="33" t="s">
        <v>3523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>
      <c r="A1735" s="30">
        <v>46175</v>
      </c>
      <c r="B1735" s="30">
        <v>46185</v>
      </c>
      <c r="C1735" s="31">
        <v>65014011</v>
      </c>
      <c r="D1735" s="30" t="str">
        <f>IFERROR(VLOOKUP(Tabela5[[#This Row],[PREFIXO ]],Tabela4[#All],2,0),"CENTRO DE CUSTO")</f>
        <v>CENTRO DE CUSTO</v>
      </c>
      <c r="E1735" s="33" t="s">
        <v>34</v>
      </c>
      <c r="F1735" s="31">
        <v>40376</v>
      </c>
      <c r="G1735" s="32">
        <v>547.99</v>
      </c>
      <c r="H1735" s="32">
        <v>15</v>
      </c>
      <c r="I1735" s="32">
        <f t="shared" si="28"/>
        <v>562.99</v>
      </c>
      <c r="J1735" s="33" t="s">
        <v>1082</v>
      </c>
      <c r="K1735" s="33" t="s">
        <v>3946</v>
      </c>
      <c r="L1735" s="33" t="s">
        <v>3947</v>
      </c>
      <c r="M1735" s="33" t="s">
        <v>3948</v>
      </c>
      <c r="N1735" s="30">
        <v>46186</v>
      </c>
      <c r="O1735" s="33" t="s">
        <v>3949</v>
      </c>
      <c r="P1735" s="33" t="s">
        <v>3845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>
      <c r="A1736" s="30">
        <v>46175</v>
      </c>
      <c r="B1736" s="30">
        <v>46175</v>
      </c>
      <c r="C1736" s="31">
        <v>16170009</v>
      </c>
      <c r="D1736" s="30" t="str">
        <f>IFERROR(VLOOKUP(Tabela5[[#This Row],[PREFIXO ]],Tabela4[#All],2,0),"CENTRO DE CUSTO")</f>
        <v>SR TANQUE RODOTECNIC SRT TQ2 INOX</v>
      </c>
      <c r="E1736" s="33" t="s">
        <v>62</v>
      </c>
      <c r="F1736" s="31">
        <v>1345</v>
      </c>
      <c r="G1736" s="32">
        <v>19850</v>
      </c>
      <c r="H1736" s="32"/>
      <c r="I1736" s="32">
        <f t="shared" si="28"/>
        <v>19850</v>
      </c>
      <c r="J1736" s="33" t="s">
        <v>1196</v>
      </c>
      <c r="K1736" s="33" t="s">
        <v>3950</v>
      </c>
      <c r="L1736" s="33" t="s">
        <v>3951</v>
      </c>
      <c r="M1736" s="33" t="s">
        <v>3952</v>
      </c>
      <c r="N1736" s="30">
        <v>46176</v>
      </c>
      <c r="O1736" s="33" t="s">
        <v>3953</v>
      </c>
      <c r="P1736" s="33" t="s">
        <v>3879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>
      <c r="A1737" s="30">
        <v>46175</v>
      </c>
      <c r="B1737" s="30">
        <v>46175</v>
      </c>
      <c r="C1737" s="31">
        <v>81519219</v>
      </c>
      <c r="D1737" s="30" t="str">
        <f>IFERROR(VLOOKUP(Tabela5[[#This Row],[PREFIXO ]],Tabela4[#All],2,0),"CENTRO DE CUSTO")</f>
        <v>PLANT GRÃOS JOHN DEERE DB90 ME 60 LINHAS</v>
      </c>
      <c r="E1737" s="33" t="s">
        <v>62</v>
      </c>
      <c r="F1737" s="31">
        <v>1390</v>
      </c>
      <c r="G1737" s="32">
        <v>1900</v>
      </c>
      <c r="H1737" s="32"/>
      <c r="I1737" s="32">
        <f t="shared" si="28"/>
        <v>1900</v>
      </c>
      <c r="J1737" s="33" t="s">
        <v>1196</v>
      </c>
      <c r="K1737" s="33" t="s">
        <v>3954</v>
      </c>
      <c r="L1737" s="33" t="s">
        <v>3955</v>
      </c>
      <c r="M1737" s="33" t="s">
        <v>3956</v>
      </c>
      <c r="N1737" s="30" t="s">
        <v>3430</v>
      </c>
      <c r="O1737" s="33" t="s">
        <v>3957</v>
      </c>
      <c r="P1737" s="33" t="s">
        <v>3879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>
      <c r="A1738" s="30">
        <v>46175</v>
      </c>
      <c r="B1738" s="30">
        <v>46178</v>
      </c>
      <c r="C1738" s="31">
        <v>31521034</v>
      </c>
      <c r="D1738" s="30" t="str">
        <f>IFERROR(VLOOKUP(Tabela5[[#This Row],[PREFIXO ]],Tabela4[#All],2,0),"CENTRO DE CUSTO")</f>
        <v>ADUB AUTOPROP KUHN ACCURA ST 7000</v>
      </c>
      <c r="E1738" s="33" t="s">
        <v>62</v>
      </c>
      <c r="F1738" s="31">
        <v>1380</v>
      </c>
      <c r="G1738" s="32">
        <v>780</v>
      </c>
      <c r="H1738" s="32"/>
      <c r="I1738" s="32">
        <f t="shared" si="28"/>
        <v>780</v>
      </c>
      <c r="J1738" s="33" t="s">
        <v>1196</v>
      </c>
      <c r="K1738" s="33" t="s">
        <v>3958</v>
      </c>
      <c r="L1738" s="33" t="s">
        <v>3959</v>
      </c>
      <c r="M1738" s="33" t="s">
        <v>3960</v>
      </c>
      <c r="N1738" s="30" t="s">
        <v>3430</v>
      </c>
      <c r="O1738" s="33" t="s">
        <v>3961</v>
      </c>
      <c r="P1738" s="33" t="s">
        <v>3879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>
      <c r="A1739" s="30">
        <v>46175</v>
      </c>
      <c r="B1739" s="30">
        <v>46185</v>
      </c>
      <c r="C1739" s="31">
        <v>31521045</v>
      </c>
      <c r="D1739" s="30" t="str">
        <f>IFERROR(VLOOKUP(Tabela5[[#This Row],[PREFIXO ]],Tabela4[#All],2,0),"CENTRO DE CUSTO")</f>
        <v>PULV AUTOPROP JACTO UNIPORT 3030</v>
      </c>
      <c r="E1739" s="33" t="s">
        <v>67</v>
      </c>
      <c r="F1739" s="31" t="s">
        <v>3962</v>
      </c>
      <c r="G1739" s="32">
        <v>28020</v>
      </c>
      <c r="H1739" s="32"/>
      <c r="I1739" s="32">
        <f t="shared" si="28"/>
        <v>28020</v>
      </c>
      <c r="J1739" s="33" t="s">
        <v>1262</v>
      </c>
      <c r="K1739" s="33" t="s">
        <v>3963</v>
      </c>
      <c r="L1739" s="33" t="s">
        <v>3964</v>
      </c>
      <c r="M1739" s="33">
        <v>41888349</v>
      </c>
      <c r="N1739" s="30">
        <v>46188</v>
      </c>
      <c r="O1739" s="33" t="s">
        <v>2268</v>
      </c>
      <c r="P1739" s="33" t="s">
        <v>3568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>
      <c r="A1740" s="30">
        <v>46175</v>
      </c>
      <c r="B1740" s="30">
        <v>46181</v>
      </c>
      <c r="C1740" s="31">
        <v>85048067</v>
      </c>
      <c r="D1740" s="30" t="str">
        <f>IFERROR(VLOOKUP(Tabela5[[#This Row],[PREFIXO ]],Tabela4[#All],2,0),"CENTRO DE CUSTO")</f>
        <v>SUBSOLADOR GTS TERRUS DUO 15H</v>
      </c>
      <c r="E1740" s="33" t="s">
        <v>96</v>
      </c>
      <c r="F1740" s="31" t="s">
        <v>3965</v>
      </c>
      <c r="G1740" s="32">
        <v>100</v>
      </c>
      <c r="H1740" s="32">
        <v>970.06</v>
      </c>
      <c r="I1740" s="32">
        <f t="shared" si="28"/>
        <v>1070.06</v>
      </c>
      <c r="J1740" s="33" t="s">
        <v>1196</v>
      </c>
      <c r="K1740" s="33" t="s">
        <v>3966</v>
      </c>
      <c r="L1740" s="33" t="s">
        <v>3967</v>
      </c>
      <c r="M1740" s="33" t="s">
        <v>3968</v>
      </c>
      <c r="N1740" s="30">
        <v>46182</v>
      </c>
      <c r="O1740" s="33" t="s">
        <v>3969</v>
      </c>
      <c r="P1740" s="33" t="s">
        <v>3594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>
      <c r="A1741" s="30">
        <v>46175</v>
      </c>
      <c r="B1741" s="30">
        <v>46181</v>
      </c>
      <c r="C1741" s="31">
        <v>13100037</v>
      </c>
      <c r="D1741" s="30" t="str">
        <f>IFERROR(VLOOKUP(Tabela5[[#This Row],[PREFIXO ]],Tabela4[#All],2,0),"CENTRO DE CUSTO")</f>
        <v>CENTRO DE CUSTO</v>
      </c>
      <c r="E1741" s="33" t="s">
        <v>359</v>
      </c>
      <c r="F1741" s="31" t="s">
        <v>3970</v>
      </c>
      <c r="G1741" s="32">
        <v>1630</v>
      </c>
      <c r="H1741" s="32"/>
      <c r="I1741" s="32">
        <f t="shared" si="28"/>
        <v>1630</v>
      </c>
      <c r="J1741" s="33" t="s">
        <v>1196</v>
      </c>
      <c r="K1741" s="33" t="s">
        <v>3971</v>
      </c>
      <c r="L1741" s="33" t="s">
        <v>3972</v>
      </c>
      <c r="M1741" s="33">
        <v>41884063</v>
      </c>
      <c r="N1741" s="30">
        <v>46182</v>
      </c>
      <c r="O1741" s="33" t="s">
        <v>2472</v>
      </c>
      <c r="P1741" s="33" t="s">
        <v>3973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>
      <c r="A1742" s="30">
        <v>46175</v>
      </c>
      <c r="B1742" s="30">
        <v>46188</v>
      </c>
      <c r="C1742" s="31">
        <v>12060002</v>
      </c>
      <c r="D1742" s="30" t="str">
        <f>IFERROR(VLOOKUP(Tabela5[[#This Row],[PREFIXO ]],Tabela4[#All],2,0),"CENTRO DE CUSTO")</f>
        <v>ONIB RODOVIÁRIO MARCOPOLO NEOBUS MEGA</v>
      </c>
      <c r="E1742" s="33" t="s">
        <v>124</v>
      </c>
      <c r="F1742" s="31">
        <v>576</v>
      </c>
      <c r="G1742" s="32">
        <v>3890</v>
      </c>
      <c r="H1742" s="32">
        <v>24500.76</v>
      </c>
      <c r="I1742" s="32">
        <f t="shared" si="28"/>
        <v>28390.76</v>
      </c>
      <c r="J1742" s="33" t="s">
        <v>1082</v>
      </c>
      <c r="K1742" s="33" t="s">
        <v>3974</v>
      </c>
      <c r="L1742" s="33" t="s">
        <v>3975</v>
      </c>
      <c r="M1742" s="33">
        <v>41889231</v>
      </c>
      <c r="N1742" s="30">
        <v>46189</v>
      </c>
      <c r="O1742" s="33" t="s">
        <v>3976</v>
      </c>
      <c r="P1742" s="33" t="s">
        <v>3977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>
      <c r="A1743" s="30">
        <v>46175</v>
      </c>
      <c r="B1743" s="30">
        <v>46188</v>
      </c>
      <c r="C1743" s="31">
        <v>61521054</v>
      </c>
      <c r="D1743" s="30" t="str">
        <f>IFERROR(VLOOKUP(Tabela5[[#This Row],[PREFIXO ]],Tabela4[#All],2,0),"CENTRO DE CUSTO")</f>
        <v>CAM CARGA SECA MERC BENZ ATEGO 1719</v>
      </c>
      <c r="E1743" s="33" t="s">
        <v>124</v>
      </c>
      <c r="F1743" s="31">
        <v>566</v>
      </c>
      <c r="G1743" s="32">
        <v>4080</v>
      </c>
      <c r="H1743" s="32">
        <v>16752.8</v>
      </c>
      <c r="I1743" s="32">
        <f t="shared" si="28"/>
        <v>20832.8</v>
      </c>
      <c r="J1743" s="33" t="s">
        <v>1082</v>
      </c>
      <c r="K1743" s="33" t="s">
        <v>3978</v>
      </c>
      <c r="L1743" s="33" t="s">
        <v>3979</v>
      </c>
      <c r="M1743" s="33">
        <v>41889228</v>
      </c>
      <c r="N1743" s="30">
        <v>46189</v>
      </c>
      <c r="O1743" s="33" t="s">
        <v>3980</v>
      </c>
      <c r="P1743" s="33" t="s">
        <v>3977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>
      <c r="A1744" s="30">
        <v>46175</v>
      </c>
      <c r="B1744" s="30">
        <v>46175</v>
      </c>
      <c r="C1744" s="31">
        <v>61521043</v>
      </c>
      <c r="D1744" s="30" t="str">
        <f>IFERROR(VLOOKUP(Tabela5[[#This Row],[PREFIXO ]],Tabela4[#All],2,0),"CENTRO DE CUSTO")</f>
        <v>ONIB RODOVIÁRIO MASCARELLO GRAN MIDI</v>
      </c>
      <c r="E1744" s="33" t="s">
        <v>124</v>
      </c>
      <c r="F1744" s="31">
        <v>577</v>
      </c>
      <c r="G1744" s="32">
        <v>2465</v>
      </c>
      <c r="H1744" s="32">
        <v>5306.4</v>
      </c>
      <c r="I1744" s="32">
        <f t="shared" si="28"/>
        <v>7771.4</v>
      </c>
      <c r="J1744" s="33" t="s">
        <v>1082</v>
      </c>
      <c r="K1744" s="33" t="s">
        <v>3981</v>
      </c>
      <c r="L1744" s="33" t="s">
        <v>3982</v>
      </c>
      <c r="M1744" s="33">
        <v>41882027</v>
      </c>
      <c r="N1744" s="30">
        <v>46178</v>
      </c>
      <c r="O1744" s="33" t="s">
        <v>3983</v>
      </c>
      <c r="P1744" s="33" t="s">
        <v>3984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>
      <c r="A1745" s="30">
        <v>46175</v>
      </c>
      <c r="B1745" s="30">
        <v>46184</v>
      </c>
      <c r="C1745" s="31">
        <v>61521064</v>
      </c>
      <c r="D1745" s="30" t="str">
        <f>IFERROR(VLOOKUP(Tabela5[[#This Row],[PREFIXO ]],Tabela4[#All],2,0),"CENTRO DE CUSTO")</f>
        <v>CAM ROLL ON/OFF VOLVO VM 330</v>
      </c>
      <c r="E1745" s="33" t="s">
        <v>124</v>
      </c>
      <c r="F1745" s="31">
        <v>586</v>
      </c>
      <c r="G1745" s="32">
        <v>2193.6</v>
      </c>
      <c r="H1745" s="32"/>
      <c r="I1745" s="32">
        <f t="shared" si="28"/>
        <v>2193.6</v>
      </c>
      <c r="J1745" s="33" t="s">
        <v>1082</v>
      </c>
      <c r="K1745" s="33" t="s">
        <v>3985</v>
      </c>
      <c r="L1745" s="33" t="s">
        <v>3986</v>
      </c>
      <c r="M1745" s="18">
        <v>41887042</v>
      </c>
      <c r="N1745" s="16">
        <v>46185</v>
      </c>
      <c r="O1745" s="33" t="s">
        <v>3987</v>
      </c>
      <c r="P1745" s="33" t="s">
        <v>3281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>
      <c r="A1746" s="30">
        <v>46195</v>
      </c>
      <c r="B1746" s="30">
        <v>46198</v>
      </c>
      <c r="C1746" s="31">
        <v>11521001</v>
      </c>
      <c r="D1746" s="30" t="str">
        <f>IFERROR(VLOOKUP(Tabela5[[#This Row],[PREFIXO ]],Tabela4[#All],2,0),"CENTRO DE CUSTO")</f>
        <v>TRAT PN EXT PES CASE STEIGER 620</v>
      </c>
      <c r="E1746" s="33" t="s">
        <v>359</v>
      </c>
      <c r="F1746" s="31" t="s">
        <v>3988</v>
      </c>
      <c r="G1746" s="32">
        <v>1264</v>
      </c>
      <c r="H1746" s="32"/>
      <c r="I1746" s="32">
        <f t="shared" si="28"/>
        <v>1264</v>
      </c>
      <c r="J1746" s="18" t="s">
        <v>1196</v>
      </c>
      <c r="K1746" s="33" t="s">
        <v>3989</v>
      </c>
      <c r="L1746" s="33" t="s">
        <v>3899</v>
      </c>
      <c r="M1746" s="17" t="s">
        <v>3900</v>
      </c>
      <c r="N1746" s="20">
        <v>46198</v>
      </c>
      <c r="O1746" s="33" t="s">
        <v>3901</v>
      </c>
      <c r="P1746" s="18" t="s">
        <v>3655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>
      <c r="A1747" s="30">
        <v>46175</v>
      </c>
      <c r="B1747" s="30">
        <v>46184</v>
      </c>
      <c r="C1747" s="31">
        <v>12070008</v>
      </c>
      <c r="D1747" s="30" t="str">
        <f>IFERROR(VLOOKUP(Tabela5[[#This Row],[PREFIXO ]],Tabela4[#All],2,0),"CENTRO DE CUSTO")</f>
        <v>VAN MICROBUS FORD TRANSIT 410 B AUT</v>
      </c>
      <c r="E1747" s="33" t="s">
        <v>209</v>
      </c>
      <c r="F1747" s="31">
        <v>424</v>
      </c>
      <c r="G1747" s="32">
        <v>260</v>
      </c>
      <c r="H1747" s="32"/>
      <c r="I1747" s="32">
        <f t="shared" si="28"/>
        <v>260</v>
      </c>
      <c r="J1747" s="33" t="s">
        <v>1082</v>
      </c>
      <c r="K1747" s="33" t="s">
        <v>3990</v>
      </c>
      <c r="L1747" s="33" t="s">
        <v>3991</v>
      </c>
      <c r="M1747" s="33">
        <v>41886947</v>
      </c>
      <c r="N1747" s="30">
        <v>46185</v>
      </c>
      <c r="O1747" s="33" t="s">
        <v>3992</v>
      </c>
      <c r="P1747" s="33" t="s">
        <v>3759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>
      <c r="A1748" s="30">
        <v>46195</v>
      </c>
      <c r="B1748" s="30">
        <v>46198</v>
      </c>
      <c r="C1748" s="31">
        <v>1173012</v>
      </c>
      <c r="D1748" s="30" t="str">
        <f>IFERROR(VLOOKUP(Tabela5[[#This Row],[PREFIXO ]],Tabela4[#All],2,0),"CENTRO DE CUSTO")</f>
        <v>TRAT PN MED N.HOLLAND 7630</v>
      </c>
      <c r="E1748" s="33" t="s">
        <v>359</v>
      </c>
      <c r="F1748" s="31" t="s">
        <v>3993</v>
      </c>
      <c r="G1748" s="32">
        <v>1548</v>
      </c>
      <c r="H1748" s="32"/>
      <c r="I1748" s="32">
        <f t="shared" si="28"/>
        <v>1548</v>
      </c>
      <c r="J1748" s="33" t="s">
        <v>1196</v>
      </c>
      <c r="K1748" s="33" t="s">
        <v>3994</v>
      </c>
      <c r="L1748" s="33" t="s">
        <v>3899</v>
      </c>
      <c r="M1748" s="33" t="s">
        <v>3900</v>
      </c>
      <c r="N1748" s="30">
        <v>46198</v>
      </c>
      <c r="O1748" s="33" t="s">
        <v>3901</v>
      </c>
      <c r="P1748" s="18" t="s">
        <v>3655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>
      <c r="A1749" s="30">
        <v>46175</v>
      </c>
      <c r="B1749" s="30">
        <v>46175</v>
      </c>
      <c r="C1749" s="31">
        <v>31521026</v>
      </c>
      <c r="D1749" s="30" t="str">
        <f>IFERROR(VLOOKUP(Tabela5[[#This Row],[PREFIXO ]],Tabela4[#All],2,0),"CENTRO DE CUSTO")</f>
        <v>PULV AUTOPROP JACTO UNIPORT 3030</v>
      </c>
      <c r="E1749" s="33" t="s">
        <v>235</v>
      </c>
      <c r="F1749" s="31">
        <v>2809</v>
      </c>
      <c r="G1749" s="32">
        <v>250</v>
      </c>
      <c r="H1749" s="32">
        <v>2125</v>
      </c>
      <c r="I1749" s="32">
        <f t="shared" si="28"/>
        <v>2375</v>
      </c>
      <c r="J1749" s="18" t="s">
        <v>1077</v>
      </c>
      <c r="K1749" s="33" t="s">
        <v>3995</v>
      </c>
      <c r="L1749" s="33" t="s">
        <v>3996</v>
      </c>
      <c r="M1749" s="33" t="s">
        <v>3997</v>
      </c>
      <c r="N1749" s="30" t="s">
        <v>3521</v>
      </c>
      <c r="O1749" s="33" t="s">
        <v>3998</v>
      </c>
      <c r="P1749" s="33" t="s">
        <v>3523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>
      <c r="A1750" s="30">
        <v>46175</v>
      </c>
      <c r="B1750" s="30">
        <v>46177</v>
      </c>
      <c r="C1750" s="31">
        <v>23220004</v>
      </c>
      <c r="D1750" s="30" t="str">
        <f>IFERROR(VLOOKUP(Tabela5[[#This Row],[PREFIXO ]],Tabela4[#All],2,0),"CENTRO DE CUSTO")</f>
        <v>COLHED ALGODÃO JOHN DEERE CP 770</v>
      </c>
      <c r="E1750" s="33" t="s">
        <v>162</v>
      </c>
      <c r="F1750" s="31">
        <v>12882</v>
      </c>
      <c r="G1750" s="32">
        <v>7520</v>
      </c>
      <c r="H1750" s="32"/>
      <c r="I1750" s="32">
        <f t="shared" si="28"/>
        <v>7520</v>
      </c>
      <c r="J1750" s="18" t="s">
        <v>1120</v>
      </c>
      <c r="K1750" s="33" t="s">
        <v>3999</v>
      </c>
      <c r="L1750" s="33" t="s">
        <v>4000</v>
      </c>
      <c r="M1750" s="33">
        <v>41882017</v>
      </c>
      <c r="N1750" s="30">
        <v>46178</v>
      </c>
      <c r="O1750" s="33" t="s">
        <v>4001</v>
      </c>
      <c r="P1750" s="33" t="s">
        <v>3802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>
      <c r="A1751" s="30">
        <v>46175</v>
      </c>
      <c r="B1751" s="30">
        <v>46177</v>
      </c>
      <c r="C1751" s="31">
        <v>23220001</v>
      </c>
      <c r="D1751" s="30" t="str">
        <f>IFERROR(VLOOKUP(Tabela5[[#This Row],[PREFIXO ]],Tabela4[#All],2,0),"CENTRO DE CUSTO")</f>
        <v>CENTRO DE CUSTO</v>
      </c>
      <c r="E1751" s="33" t="s">
        <v>162</v>
      </c>
      <c r="F1751" s="31">
        <v>12938</v>
      </c>
      <c r="G1751" s="32">
        <v>7520</v>
      </c>
      <c r="H1751" s="32"/>
      <c r="I1751" s="32">
        <f t="shared" si="28"/>
        <v>7520</v>
      </c>
      <c r="J1751" s="18" t="s">
        <v>1120</v>
      </c>
      <c r="K1751" s="33" t="s">
        <v>4002</v>
      </c>
      <c r="L1751" s="33" t="s">
        <v>4000</v>
      </c>
      <c r="M1751" s="33" t="s">
        <v>4003</v>
      </c>
      <c r="N1751" s="30">
        <v>46178</v>
      </c>
      <c r="O1751" s="33" t="s">
        <v>4001</v>
      </c>
      <c r="P1751" s="33" t="s">
        <v>3802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>
      <c r="A1752" s="30">
        <v>46175</v>
      </c>
      <c r="B1752" s="30">
        <v>46184</v>
      </c>
      <c r="C1752" s="31">
        <v>31521011</v>
      </c>
      <c r="D1752" s="30" t="str">
        <f>IFERROR(VLOOKUP(Tabela5[[#This Row],[PREFIXO ]],Tabela4[#All],2,0),"CENTRO DE CUSTO")</f>
        <v>PULV AUTOPROP JACTO UNIPORT 3030</v>
      </c>
      <c r="E1752" s="33" t="s">
        <v>68</v>
      </c>
      <c r="F1752" s="31">
        <v>2360</v>
      </c>
      <c r="G1752" s="32">
        <v>1820</v>
      </c>
      <c r="H1752" s="32">
        <v>2490</v>
      </c>
      <c r="I1752" s="32">
        <f t="shared" si="28"/>
        <v>4310</v>
      </c>
      <c r="J1752" s="18" t="s">
        <v>1077</v>
      </c>
      <c r="K1752" s="33" t="s">
        <v>4004</v>
      </c>
      <c r="L1752" s="33" t="s">
        <v>4005</v>
      </c>
      <c r="M1752" s="33">
        <v>41887812</v>
      </c>
      <c r="N1752" s="30">
        <v>46188</v>
      </c>
      <c r="O1752" s="33" t="s">
        <v>4006</v>
      </c>
      <c r="P1752" s="33" t="s">
        <v>4007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>
      <c r="A1753" s="30">
        <v>46195</v>
      </c>
      <c r="B1753" s="30">
        <v>46198</v>
      </c>
      <c r="C1753" s="31">
        <v>11521037</v>
      </c>
      <c r="D1753" s="30" t="str">
        <f>IFERROR(VLOOKUP(Tabela5[[#This Row],[PREFIXO ]],Tabela4[#All],2,0),"CENTRO DE CUSTO")</f>
        <v>TRAT PN EXT PES N.HOLLAND T9.600</v>
      </c>
      <c r="E1753" s="33" t="s">
        <v>359</v>
      </c>
      <c r="F1753" s="31" t="s">
        <v>4008</v>
      </c>
      <c r="G1753" s="32">
        <v>1429.2</v>
      </c>
      <c r="H1753" s="32"/>
      <c r="I1753" s="32">
        <f t="shared" si="28"/>
        <v>1429.2</v>
      </c>
      <c r="J1753" s="18" t="s">
        <v>1196</v>
      </c>
      <c r="K1753" s="33" t="s">
        <v>4009</v>
      </c>
      <c r="L1753" s="33" t="s">
        <v>3899</v>
      </c>
      <c r="M1753" s="33" t="s">
        <v>3900</v>
      </c>
      <c r="N1753" s="30">
        <v>46198</v>
      </c>
      <c r="O1753" s="33" t="s">
        <v>3901</v>
      </c>
      <c r="P1753" s="18" t="s">
        <v>3655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>
      <c r="A1754" s="30">
        <v>46175</v>
      </c>
      <c r="B1754" s="30">
        <v>46181</v>
      </c>
      <c r="C1754" s="31">
        <v>61521043</v>
      </c>
      <c r="D1754" s="30" t="str">
        <f>IFERROR(VLOOKUP(Tabela5[[#This Row],[PREFIXO ]],Tabela4[#All],2,0),"CENTRO DE CUSTO")</f>
        <v>ONIB RODOVIÁRIO MASCARELLO GRAN MIDI</v>
      </c>
      <c r="E1754" s="18" t="s">
        <v>129</v>
      </c>
      <c r="F1754" s="31">
        <v>243</v>
      </c>
      <c r="G1754" s="32">
        <v>950</v>
      </c>
      <c r="H1754" s="32">
        <v>350</v>
      </c>
      <c r="I1754" s="32">
        <f t="shared" si="28"/>
        <v>1300</v>
      </c>
      <c r="J1754" s="33" t="s">
        <v>1082</v>
      </c>
      <c r="K1754" s="33" t="s">
        <v>4010</v>
      </c>
      <c r="L1754" s="33" t="s">
        <v>4011</v>
      </c>
      <c r="M1754" s="33">
        <v>41884073</v>
      </c>
      <c r="N1754" s="30">
        <v>46182</v>
      </c>
      <c r="O1754" s="33" t="s">
        <v>3480</v>
      </c>
      <c r="P1754" s="33" t="s">
        <v>3973</v>
      </c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CONCLUÍDO</v>
      </c>
      <c r="R1754" s="37"/>
    </row>
    <row r="1755" spans="1:18">
      <c r="A1755" s="30">
        <v>46175</v>
      </c>
      <c r="B1755" s="30">
        <v>46181</v>
      </c>
      <c r="C1755" s="31">
        <v>61521042</v>
      </c>
      <c r="D1755" s="30" t="str">
        <f>IFERROR(VLOOKUP(Tabela5[[#This Row],[PREFIXO ]],Tabela4[#All],2,0),"CENTRO DE CUSTO")</f>
        <v>ONIB RODOVIÁRIO MASCARELLO GRAN MIDI</v>
      </c>
      <c r="E1755" s="33" t="s">
        <v>129</v>
      </c>
      <c r="F1755" s="31">
        <v>244</v>
      </c>
      <c r="G1755" s="32">
        <v>950</v>
      </c>
      <c r="H1755" s="32"/>
      <c r="I1755" s="32">
        <f t="shared" si="28"/>
        <v>950</v>
      </c>
      <c r="J1755" s="33" t="s">
        <v>1082</v>
      </c>
      <c r="K1755" s="33" t="s">
        <v>4012</v>
      </c>
      <c r="L1755" s="33" t="s">
        <v>4013</v>
      </c>
      <c r="M1755" s="33">
        <v>41884072</v>
      </c>
      <c r="N1755" s="30">
        <v>46182</v>
      </c>
      <c r="O1755" s="33" t="s">
        <v>4014</v>
      </c>
      <c r="P1755" s="33" t="s">
        <v>3443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>
      <c r="A1756" s="30">
        <v>46175</v>
      </c>
      <c r="B1756" s="30">
        <v>46182</v>
      </c>
      <c r="C1756" s="31">
        <v>11522031</v>
      </c>
      <c r="D1756" s="30" t="str">
        <f>IFERROR(VLOOKUP(Tabela5[[#This Row],[PREFIXO ]],Tabela4[#All],2,0),"CENTRO DE CUSTO")</f>
        <v>CENTRO DE CUSTO</v>
      </c>
      <c r="E1756" s="33" t="s">
        <v>312</v>
      </c>
      <c r="F1756" s="31" t="s">
        <v>4015</v>
      </c>
      <c r="G1756" s="32">
        <v>18912.5</v>
      </c>
      <c r="H1756" s="32"/>
      <c r="I1756" s="32">
        <f t="shared" si="28"/>
        <v>18912.5</v>
      </c>
      <c r="J1756" s="18" t="s">
        <v>1196</v>
      </c>
      <c r="K1756" s="33">
        <v>9879781</v>
      </c>
      <c r="L1756" s="33">
        <v>946160</v>
      </c>
      <c r="M1756" s="33">
        <v>41884999</v>
      </c>
      <c r="N1756" s="30">
        <v>46183</v>
      </c>
      <c r="O1756" s="33" t="s">
        <v>2283</v>
      </c>
      <c r="P1756" s="33" t="s">
        <v>3443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>
      <c r="A1757" s="30">
        <v>46175</v>
      </c>
      <c r="B1757" s="30">
        <v>46177</v>
      </c>
      <c r="C1757" s="31">
        <v>11522015</v>
      </c>
      <c r="D1757" s="30" t="str">
        <f>IFERROR(VLOOKUP(Tabela5[[#This Row],[PREFIXO ]],Tabela4[#All],2,0),"CENTRO DE CUSTO")</f>
        <v>CENTRO DE CUSTO</v>
      </c>
      <c r="E1757" s="33" t="s">
        <v>312</v>
      </c>
      <c r="F1757" s="31" t="s">
        <v>4016</v>
      </c>
      <c r="G1757" s="32">
        <v>8800</v>
      </c>
      <c r="H1757" s="32"/>
      <c r="I1757" s="32">
        <f t="shared" si="28"/>
        <v>8800</v>
      </c>
      <c r="J1757" s="18" t="s">
        <v>1196</v>
      </c>
      <c r="K1757" s="33" t="s">
        <v>4017</v>
      </c>
      <c r="L1757" s="33" t="s">
        <v>4018</v>
      </c>
      <c r="M1757" s="33">
        <v>41882019</v>
      </c>
      <c r="N1757" s="30">
        <v>46178</v>
      </c>
      <c r="O1757" s="33" t="s">
        <v>3326</v>
      </c>
      <c r="P1757" s="33" t="s">
        <v>3879</v>
      </c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CONCLUÍDO</v>
      </c>
      <c r="R1757" s="37"/>
    </row>
    <row r="1758" spans="1:18">
      <c r="A1758" s="30">
        <v>46175</v>
      </c>
      <c r="B1758" s="30">
        <v>46177</v>
      </c>
      <c r="C1758" s="31">
        <v>13100003</v>
      </c>
      <c r="D1758" s="30" t="str">
        <f>IFERROR(VLOOKUP(Tabela5[[#This Row],[PREFIXO ]],Tabela4[#All],2,0),"CENTRO DE CUSTO")</f>
        <v>TRAT PN PES JOHN DEERE 8400R</v>
      </c>
      <c r="E1758" s="33" t="s">
        <v>312</v>
      </c>
      <c r="F1758" s="31" t="s">
        <v>4019</v>
      </c>
      <c r="G1758" s="32">
        <v>2655.88</v>
      </c>
      <c r="H1758" s="32"/>
      <c r="I1758" s="32">
        <f t="shared" si="28"/>
        <v>2655.88</v>
      </c>
      <c r="J1758" s="33" t="s">
        <v>1196</v>
      </c>
      <c r="K1758" s="33" t="s">
        <v>4020</v>
      </c>
      <c r="L1758" s="33" t="s">
        <v>4018</v>
      </c>
      <c r="M1758" s="33">
        <v>41882019</v>
      </c>
      <c r="N1758" s="30">
        <v>46178</v>
      </c>
      <c r="O1758" s="33" t="s">
        <v>3326</v>
      </c>
      <c r="P1758" s="33" t="s">
        <v>3879</v>
      </c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CONCLUÍDO</v>
      </c>
      <c r="R1758" s="37"/>
    </row>
    <row r="1759" spans="1:18">
      <c r="A1759" s="30">
        <v>46175</v>
      </c>
      <c r="B1759" s="16">
        <v>46177</v>
      </c>
      <c r="C1759" s="21">
        <v>15010004</v>
      </c>
      <c r="D1759" s="16" t="str">
        <f>IFERROR(VLOOKUP(Tabela5[[#This Row],[PREFIXO ]],Tabela4[#All],2,0),"CENTRO DE CUSTO")</f>
        <v>TRAT PN MED JOHN DEERE 6145J</v>
      </c>
      <c r="E1759" s="18" t="s">
        <v>312</v>
      </c>
      <c r="F1759" s="21" t="s">
        <v>4021</v>
      </c>
      <c r="G1759" s="22">
        <v>570.4</v>
      </c>
      <c r="H1759" s="22"/>
      <c r="I1759" s="22">
        <f t="shared" si="28"/>
        <v>570.4</v>
      </c>
      <c r="J1759" s="33" t="s">
        <v>1196</v>
      </c>
      <c r="K1759" s="18" t="s">
        <v>4022</v>
      </c>
      <c r="L1759" s="18" t="s">
        <v>4018</v>
      </c>
      <c r="M1759" s="18">
        <v>41882019</v>
      </c>
      <c r="N1759" s="16">
        <v>46178</v>
      </c>
      <c r="O1759" s="18" t="s">
        <v>3326</v>
      </c>
      <c r="P1759" s="18" t="s">
        <v>3879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>
      <c r="A1760" s="30">
        <v>46195</v>
      </c>
      <c r="B1760" s="16">
        <v>46198</v>
      </c>
      <c r="C1760" s="21">
        <v>13100037</v>
      </c>
      <c r="D1760" s="16" t="str">
        <f>IFERROR(VLOOKUP(Tabela5[[#This Row],[PREFIXO ]],Tabela4[#All],2,0),"CENTRO DE CUSTO")</f>
        <v>CENTRO DE CUSTO</v>
      </c>
      <c r="E1760" s="18" t="s">
        <v>359</v>
      </c>
      <c r="F1760" s="21" t="s">
        <v>4023</v>
      </c>
      <c r="G1760" s="22">
        <v>1838</v>
      </c>
      <c r="H1760" s="22"/>
      <c r="I1760" s="22">
        <f t="shared" si="28"/>
        <v>1838</v>
      </c>
      <c r="J1760" s="33" t="s">
        <v>1196</v>
      </c>
      <c r="K1760" s="18" t="s">
        <v>4024</v>
      </c>
      <c r="L1760" s="18" t="s">
        <v>3899</v>
      </c>
      <c r="M1760" s="18" t="s">
        <v>3900</v>
      </c>
      <c r="N1760" s="16">
        <v>46198</v>
      </c>
      <c r="O1760" s="33" t="s">
        <v>3901</v>
      </c>
      <c r="P1760" s="18" t="s">
        <v>3655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>
      <c r="A1761" s="30">
        <v>46175</v>
      </c>
      <c r="B1761" s="16">
        <v>46176</v>
      </c>
      <c r="C1761" s="21">
        <v>22080167</v>
      </c>
      <c r="D1761" s="16" t="str">
        <f>IFERROR(VLOOKUP(Tabela5[[#This Row],[PREFIXO ]],Tabela4[#All],2,0),"CENTRO DE CUSTO")</f>
        <v>CENTRO DE CUSTO</v>
      </c>
      <c r="E1761" s="18" t="s">
        <v>39</v>
      </c>
      <c r="F1761" s="21"/>
      <c r="G1761" s="22">
        <v>1400</v>
      </c>
      <c r="H1761" s="22"/>
      <c r="I1761" s="22">
        <f t="shared" si="28"/>
        <v>1400</v>
      </c>
      <c r="J1761" s="18" t="s">
        <v>1082</v>
      </c>
      <c r="K1761" s="18" t="s">
        <v>4025</v>
      </c>
      <c r="L1761" s="18" t="s">
        <v>4026</v>
      </c>
      <c r="M1761" s="18" t="s">
        <v>4027</v>
      </c>
      <c r="N1761" s="16">
        <v>46178</v>
      </c>
      <c r="O1761" s="18" t="s">
        <v>4028</v>
      </c>
      <c r="P1761" s="18" t="s">
        <v>3443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>
      <c r="A1762" s="30">
        <v>46175</v>
      </c>
      <c r="B1762" s="16">
        <v>46176</v>
      </c>
      <c r="C1762" s="21">
        <v>22080169</v>
      </c>
      <c r="D1762" s="16" t="str">
        <f>IFERROR(VLOOKUP(Tabela5[[#This Row],[PREFIXO ]],Tabela4[#All],2,0),"CENTRO DE CUSTO")</f>
        <v>CENTRO DE CUSTO</v>
      </c>
      <c r="E1762" s="18" t="s">
        <v>39</v>
      </c>
      <c r="F1762" s="21"/>
      <c r="G1762" s="22">
        <v>1400</v>
      </c>
      <c r="H1762" s="22"/>
      <c r="I1762" s="22">
        <f t="shared" si="28"/>
        <v>1400</v>
      </c>
      <c r="J1762" s="18" t="s">
        <v>1082</v>
      </c>
      <c r="K1762" s="18" t="s">
        <v>4029</v>
      </c>
      <c r="L1762" s="18" t="s">
        <v>4030</v>
      </c>
      <c r="M1762" s="18" t="s">
        <v>4027</v>
      </c>
      <c r="N1762" s="16">
        <v>46178</v>
      </c>
      <c r="O1762" s="18" t="s">
        <v>4028</v>
      </c>
      <c r="P1762" s="18" t="s">
        <v>3443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>
      <c r="A1763" s="30">
        <v>46175</v>
      </c>
      <c r="B1763" s="16">
        <v>46176</v>
      </c>
      <c r="C1763" s="21">
        <v>61521052</v>
      </c>
      <c r="D1763" s="16" t="str">
        <f>IFERROR(VLOOKUP(Tabela5[[#This Row],[PREFIXO ]],Tabela4[#All],2,0),"CENTRO DE CUSTO")</f>
        <v>CAM CARGA SECA MERC BENZ ATEGO 1719</v>
      </c>
      <c r="E1763" s="18" t="s">
        <v>39</v>
      </c>
      <c r="F1763" s="21"/>
      <c r="G1763" s="22">
        <v>390</v>
      </c>
      <c r="H1763" s="22"/>
      <c r="I1763" s="22">
        <f t="shared" si="28"/>
        <v>390</v>
      </c>
      <c r="J1763" s="18" t="s">
        <v>1082</v>
      </c>
      <c r="K1763" s="18" t="s">
        <v>4031</v>
      </c>
      <c r="L1763" s="18" t="s">
        <v>4030</v>
      </c>
      <c r="M1763" s="18" t="s">
        <v>4027</v>
      </c>
      <c r="N1763" s="16">
        <v>46178</v>
      </c>
      <c r="O1763" s="18" t="s">
        <v>4028</v>
      </c>
      <c r="P1763" s="18" t="s">
        <v>3443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>
      <c r="A1764" s="30">
        <v>46175</v>
      </c>
      <c r="B1764" s="16"/>
      <c r="C1764" s="21">
        <v>81726736</v>
      </c>
      <c r="D1764" s="16" t="str">
        <f>IFERROR(VLOOKUP(Tabela5[[#This Row],[PREFIXO ]],Tabela4[#All],2,0),"CENTRO DE CUSTO")</f>
        <v>CENTRO DE CUSTO</v>
      </c>
      <c r="E1764" s="18" t="s">
        <v>162</v>
      </c>
      <c r="F1764" s="21">
        <v>14031</v>
      </c>
      <c r="G1764" s="22">
        <v>10003.950000000001</v>
      </c>
      <c r="H1764" s="22"/>
      <c r="I1764" s="22">
        <f t="shared" si="28"/>
        <v>10003.950000000001</v>
      </c>
      <c r="J1764" s="18" t="s">
        <v>1120</v>
      </c>
      <c r="K1764" s="18"/>
      <c r="L1764" s="18"/>
      <c r="M1764" s="18"/>
      <c r="N1764" s="16"/>
      <c r="O1764" s="18"/>
      <c r="P1764" s="18"/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FALTA LANÇAMENTO</v>
      </c>
      <c r="R1764" s="36"/>
    </row>
    <row r="1765" spans="1:18">
      <c r="A1765" s="30">
        <v>46176</v>
      </c>
      <c r="B1765" s="16">
        <v>46178</v>
      </c>
      <c r="C1765" s="21">
        <v>500580090</v>
      </c>
      <c r="D1765" s="16" t="str">
        <f>IFERROR(VLOOKUP(Tabela5[[#This Row],[PREFIXO ]],Tabela4[#All],2,0),"CENTRO DE CUSTO")</f>
        <v>Plantadeiras</v>
      </c>
      <c r="E1765" s="18" t="s">
        <v>96</v>
      </c>
      <c r="F1765" s="21" t="s">
        <v>4032</v>
      </c>
      <c r="G1765" s="22">
        <v>540</v>
      </c>
      <c r="H1765" s="22">
        <v>4200</v>
      </c>
      <c r="I1765" s="22">
        <f t="shared" si="28"/>
        <v>4740</v>
      </c>
      <c r="J1765" s="33" t="s">
        <v>1196</v>
      </c>
      <c r="K1765" s="18" t="s">
        <v>4033</v>
      </c>
      <c r="L1765" s="18" t="s">
        <v>4034</v>
      </c>
      <c r="M1765" s="18" t="s">
        <v>4035</v>
      </c>
      <c r="N1765" s="16">
        <v>46181</v>
      </c>
      <c r="O1765" s="18" t="s">
        <v>4036</v>
      </c>
      <c r="P1765" s="18" t="s">
        <v>3680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>
      <c r="A1766" s="30">
        <v>46195</v>
      </c>
      <c r="B1766" s="16">
        <v>46198</v>
      </c>
      <c r="C1766" s="21">
        <v>11521022</v>
      </c>
      <c r="D1766" s="16" t="str">
        <f>IFERROR(VLOOKUP(Tabela5[[#This Row],[PREFIXO ]],Tabela4[#All],2,0),"CENTRO DE CUSTO")</f>
        <v>TRAT PN MED CASE PUMA 140</v>
      </c>
      <c r="E1766" s="18" t="s">
        <v>359</v>
      </c>
      <c r="F1766" s="21" t="s">
        <v>4037</v>
      </c>
      <c r="G1766" s="22">
        <v>1390.8</v>
      </c>
      <c r="H1766" s="22"/>
      <c r="I1766" s="22">
        <f t="shared" si="28"/>
        <v>1390.8</v>
      </c>
      <c r="J1766" s="33" t="s">
        <v>1196</v>
      </c>
      <c r="K1766" s="18" t="s">
        <v>4038</v>
      </c>
      <c r="L1766" s="18" t="s">
        <v>3899</v>
      </c>
      <c r="M1766" s="18" t="s">
        <v>3900</v>
      </c>
      <c r="N1766" s="16">
        <v>46198</v>
      </c>
      <c r="O1766" s="33" t="s">
        <v>3901</v>
      </c>
      <c r="P1766" s="18" t="s">
        <v>3655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>
      <c r="A1767" s="30">
        <v>46176</v>
      </c>
      <c r="B1767" s="16">
        <v>46184</v>
      </c>
      <c r="C1767" s="21">
        <v>61521083</v>
      </c>
      <c r="D1767" s="16" t="str">
        <f>IFERROR(VLOOKUP(Tabela5[[#This Row],[PREFIXO ]],Tabela4[#All],2,0),"CENTRO DE CUSTO")</f>
        <v>CAM COMBOIO VOLVO VM 330</v>
      </c>
      <c r="E1767" s="18" t="s">
        <v>347</v>
      </c>
      <c r="F1767" s="21">
        <v>1248</v>
      </c>
      <c r="G1767" s="22">
        <v>580</v>
      </c>
      <c r="H1767" s="22"/>
      <c r="I1767" s="22">
        <f t="shared" si="28"/>
        <v>580</v>
      </c>
      <c r="J1767" s="33" t="s">
        <v>1196</v>
      </c>
      <c r="K1767" s="18" t="s">
        <v>4039</v>
      </c>
      <c r="L1767" s="18" t="s">
        <v>4040</v>
      </c>
      <c r="M1767" s="18">
        <v>41886949</v>
      </c>
      <c r="N1767" s="16">
        <v>46185</v>
      </c>
      <c r="O1767" s="18" t="s">
        <v>3552</v>
      </c>
      <c r="P1767" s="18" t="s">
        <v>3973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>
      <c r="A1768" s="30">
        <v>46176</v>
      </c>
      <c r="B1768" s="16">
        <v>46178</v>
      </c>
      <c r="C1768" s="21">
        <v>17020051</v>
      </c>
      <c r="D1768" s="16" t="str">
        <f>IFERROR(VLOOKUP(Tabela5[[#This Row],[PREFIXO ]],Tabela4[#All],2,0),"CENTRO DE CUSTO")</f>
        <v>SOPRADOR COSTAL STIHL BR800</v>
      </c>
      <c r="E1768" s="18" t="s">
        <v>40</v>
      </c>
      <c r="F1768" s="21">
        <v>139262</v>
      </c>
      <c r="G1768" s="22">
        <v>286</v>
      </c>
      <c r="H1768" s="22">
        <v>1558.68</v>
      </c>
      <c r="I1768" s="22">
        <f t="shared" si="28"/>
        <v>1844.68</v>
      </c>
      <c r="J1768" s="33" t="s">
        <v>1082</v>
      </c>
      <c r="K1768" s="18" t="s">
        <v>4041</v>
      </c>
      <c r="L1768" s="18" t="s">
        <v>4042</v>
      </c>
      <c r="M1768" s="18">
        <v>41883166</v>
      </c>
      <c r="N1768" s="16">
        <v>46181</v>
      </c>
      <c r="O1768" s="18" t="s">
        <v>4043</v>
      </c>
      <c r="P1768" s="18" t="s">
        <v>3850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>
      <c r="A1769" s="30">
        <v>46176</v>
      </c>
      <c r="B1769" s="16">
        <v>46178</v>
      </c>
      <c r="C1769" s="21">
        <v>17020055</v>
      </c>
      <c r="D1769" s="16" t="str">
        <f>IFERROR(VLOOKUP(Tabela5[[#This Row],[PREFIXO ]],Tabela4[#All],2,0),"CENTRO DE CUSTO")</f>
        <v>SOPRADOR COSTAL STIHL BR600</v>
      </c>
      <c r="E1769" s="18" t="s">
        <v>40</v>
      </c>
      <c r="F1769" s="21">
        <v>140998</v>
      </c>
      <c r="G1769" s="22">
        <v>286</v>
      </c>
      <c r="H1769" s="22">
        <v>1021.93</v>
      </c>
      <c r="I1769" s="22">
        <f t="shared" si="28"/>
        <v>1307.9299999999998</v>
      </c>
      <c r="J1769" s="18" t="s">
        <v>1082</v>
      </c>
      <c r="K1769" s="18" t="s">
        <v>4044</v>
      </c>
      <c r="L1769" s="18" t="s">
        <v>4045</v>
      </c>
      <c r="M1769" s="18">
        <v>41883171</v>
      </c>
      <c r="N1769" s="16">
        <v>46181</v>
      </c>
      <c r="O1769" s="18" t="s">
        <v>4046</v>
      </c>
      <c r="P1769" s="18" t="s">
        <v>3850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>
      <c r="A1770" s="30">
        <v>46176</v>
      </c>
      <c r="B1770" s="16">
        <v>46178</v>
      </c>
      <c r="C1770" s="21">
        <v>901627</v>
      </c>
      <c r="D1770" s="16" t="str">
        <f>IFERROR(VLOOKUP(Tabela5[[#This Row],[PREFIXO ]],Tabela4[#All],2,0),"CENTRO DE CUSTO")</f>
        <v>SOPRADOR COSTAL BR600</v>
      </c>
      <c r="E1770" s="18" t="s">
        <v>40</v>
      </c>
      <c r="F1770" s="21">
        <v>140997</v>
      </c>
      <c r="G1770" s="22">
        <v>286</v>
      </c>
      <c r="H1770" s="22">
        <v>933.43</v>
      </c>
      <c r="I1770" s="22">
        <f t="shared" si="28"/>
        <v>1219.4299999999998</v>
      </c>
      <c r="J1770" s="18" t="s">
        <v>1082</v>
      </c>
      <c r="K1770" s="18" t="s">
        <v>4047</v>
      </c>
      <c r="L1770" s="18" t="s">
        <v>4048</v>
      </c>
      <c r="M1770" s="18">
        <v>41883169</v>
      </c>
      <c r="N1770" s="16">
        <v>46181</v>
      </c>
      <c r="O1770" s="18" t="s">
        <v>4049</v>
      </c>
      <c r="P1770" s="18" t="s">
        <v>3850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>
      <c r="A1771" s="30">
        <v>46176</v>
      </c>
      <c r="B1771" s="16">
        <v>46178</v>
      </c>
      <c r="C1771" s="21">
        <v>17020053</v>
      </c>
      <c r="D1771" s="16" t="str">
        <f>IFERROR(VLOOKUP(Tabela5[[#This Row],[PREFIXO ]],Tabela4[#All],2,0),"CENTRO DE CUSTO")</f>
        <v>SOPRADOR COSTAL STIHL BR800</v>
      </c>
      <c r="E1771" s="18" t="s">
        <v>40</v>
      </c>
      <c r="F1771" s="21">
        <v>140996</v>
      </c>
      <c r="G1771" s="22">
        <v>286</v>
      </c>
      <c r="H1771" s="22">
        <v>467.83</v>
      </c>
      <c r="I1771" s="22">
        <f t="shared" si="28"/>
        <v>753.82999999999993</v>
      </c>
      <c r="J1771" s="18" t="s">
        <v>1082</v>
      </c>
      <c r="K1771" s="18" t="s">
        <v>4050</v>
      </c>
      <c r="L1771" s="18" t="s">
        <v>4051</v>
      </c>
      <c r="M1771" s="18">
        <v>41883168</v>
      </c>
      <c r="N1771" s="16">
        <v>46181</v>
      </c>
      <c r="O1771" s="18" t="s">
        <v>4052</v>
      </c>
      <c r="P1771" s="18" t="s">
        <v>4053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>
      <c r="A1772" s="30">
        <v>46195</v>
      </c>
      <c r="B1772" s="16">
        <v>46198</v>
      </c>
      <c r="C1772" s="21">
        <v>1173005</v>
      </c>
      <c r="D1772" s="16" t="str">
        <f>IFERROR(VLOOKUP(Tabela5[[#This Row],[PREFIXO ]],Tabela4[#All],2,0),"CENTRO DE CUSTO")</f>
        <v>TRAT PN LEVE M FERGUSON MF 275</v>
      </c>
      <c r="E1772" s="18" t="s">
        <v>359</v>
      </c>
      <c r="F1772" s="21" t="s">
        <v>4054</v>
      </c>
      <c r="G1772" s="22">
        <v>1382</v>
      </c>
      <c r="H1772" s="22"/>
      <c r="I1772" s="22">
        <f t="shared" si="28"/>
        <v>1382</v>
      </c>
      <c r="J1772" s="18" t="s">
        <v>1196</v>
      </c>
      <c r="K1772" s="18" t="s">
        <v>4055</v>
      </c>
      <c r="L1772" s="18" t="s">
        <v>3899</v>
      </c>
      <c r="M1772" s="18" t="s">
        <v>3900</v>
      </c>
      <c r="N1772" s="16">
        <v>46198</v>
      </c>
      <c r="O1772" s="33" t="s">
        <v>3901</v>
      </c>
      <c r="P1772" s="18" t="s">
        <v>3655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>
      <c r="A1773" s="30">
        <v>46176</v>
      </c>
      <c r="B1773" s="16">
        <v>46191</v>
      </c>
      <c r="C1773" s="21">
        <v>500580097</v>
      </c>
      <c r="D1773" s="16" t="str">
        <f>IFERROR(VLOOKUP(Tabela5[[#This Row],[PREFIXO ]],Tabela4[#All],2,0),"CENTRO DE CUSTO")</f>
        <v>Subsoladores</v>
      </c>
      <c r="E1773" s="18" t="s">
        <v>66</v>
      </c>
      <c r="F1773" s="21">
        <v>9858</v>
      </c>
      <c r="G1773" s="22">
        <v>1800</v>
      </c>
      <c r="H1773" s="22">
        <v>8824.66</v>
      </c>
      <c r="I1773" s="22">
        <f t="shared" si="28"/>
        <v>10624.66</v>
      </c>
      <c r="J1773" s="18" t="s">
        <v>1196</v>
      </c>
      <c r="K1773" s="18" t="s">
        <v>4056</v>
      </c>
      <c r="L1773" s="18" t="s">
        <v>4057</v>
      </c>
      <c r="M1773" s="18" t="s">
        <v>4058</v>
      </c>
      <c r="N1773" s="16">
        <v>46191</v>
      </c>
      <c r="O1773" s="18" t="s">
        <v>4059</v>
      </c>
      <c r="P1773" s="18" t="s">
        <v>4060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>
      <c r="A1774" s="30">
        <v>46176</v>
      </c>
      <c r="B1774" s="16">
        <v>46181</v>
      </c>
      <c r="C1774" s="21">
        <v>15730003</v>
      </c>
      <c r="D1774" s="16" t="str">
        <f>IFERROR(VLOOKUP(Tabela5[[#This Row],[PREFIXO ]],Tabela4[#All],2,0),"CENTRO DE CUSTO")</f>
        <v>IMPL COLHEIT GRÃOS COLOMBO TWIN MASTER 3</v>
      </c>
      <c r="E1774" s="18" t="s">
        <v>66</v>
      </c>
      <c r="F1774" s="21">
        <v>9859</v>
      </c>
      <c r="G1774" s="22">
        <v>1300</v>
      </c>
      <c r="H1774" s="22">
        <v>6308.8</v>
      </c>
      <c r="I1774" s="22">
        <f t="shared" si="28"/>
        <v>7608.8</v>
      </c>
      <c r="J1774" s="18" t="s">
        <v>1196</v>
      </c>
      <c r="K1774" s="18" t="s">
        <v>4061</v>
      </c>
      <c r="L1774" s="18" t="s">
        <v>4062</v>
      </c>
      <c r="M1774" s="18">
        <v>41884145</v>
      </c>
      <c r="N1774" s="16">
        <v>46182</v>
      </c>
      <c r="O1774" s="18" t="s">
        <v>4063</v>
      </c>
      <c r="P1774" s="18" t="s">
        <v>3443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>
      <c r="A1775" s="30">
        <v>46176</v>
      </c>
      <c r="B1775" s="16">
        <v>46181</v>
      </c>
      <c r="C1775" s="21">
        <v>15430003</v>
      </c>
      <c r="D1775" s="16" t="str">
        <f>IFERROR(VLOOKUP(Tabela5[[#This Row],[PREFIXO ]],Tabela4[#All],2,0),"CENTRO DE CUSTO")</f>
        <v>ATOMIZADOR TEC SPRAY ATOMAX</v>
      </c>
      <c r="E1775" s="18" t="s">
        <v>66</v>
      </c>
      <c r="F1775" s="21">
        <v>9860</v>
      </c>
      <c r="G1775" s="22">
        <v>1900</v>
      </c>
      <c r="H1775" s="22">
        <v>749.82</v>
      </c>
      <c r="I1775" s="22">
        <f t="shared" si="28"/>
        <v>2649.82</v>
      </c>
      <c r="J1775" s="18" t="s">
        <v>1196</v>
      </c>
      <c r="K1775" s="18" t="s">
        <v>4064</v>
      </c>
      <c r="L1775" s="18" t="s">
        <v>4065</v>
      </c>
      <c r="M1775" s="18">
        <v>41884146</v>
      </c>
      <c r="N1775" s="16">
        <v>46182</v>
      </c>
      <c r="O1775" s="18" t="s">
        <v>4066</v>
      </c>
      <c r="P1775" s="18" t="s">
        <v>3443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>
      <c r="A1776" s="30">
        <v>46176</v>
      </c>
      <c r="B1776" s="16">
        <v>46178</v>
      </c>
      <c r="C1776" s="21">
        <v>31521028</v>
      </c>
      <c r="D1776" s="16" t="str">
        <f>IFERROR(VLOOKUP(Tabela5[[#This Row],[PREFIXO ]],Tabela4[#All],2,0),"CENTRO DE CUSTO")</f>
        <v>PULV AUTOPROP JACTO UNIPORT 3030</v>
      </c>
      <c r="E1776" s="18" t="s">
        <v>96</v>
      </c>
      <c r="F1776" s="21" t="s">
        <v>4067</v>
      </c>
      <c r="G1776" s="22">
        <v>1143</v>
      </c>
      <c r="H1776" s="22">
        <v>1507.02</v>
      </c>
      <c r="I1776" s="22">
        <f t="shared" si="28"/>
        <v>2650.02</v>
      </c>
      <c r="J1776" s="18" t="s">
        <v>1077</v>
      </c>
      <c r="K1776" s="18" t="s">
        <v>4068</v>
      </c>
      <c r="L1776" s="18" t="s">
        <v>4069</v>
      </c>
      <c r="M1776" s="18" t="s">
        <v>4070</v>
      </c>
      <c r="N1776" s="16">
        <v>46181</v>
      </c>
      <c r="O1776" s="18" t="s">
        <v>4071</v>
      </c>
      <c r="P1776" s="18" t="s">
        <v>3680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>
      <c r="A1777" s="30">
        <v>46176</v>
      </c>
      <c r="B1777" s="16">
        <v>46189</v>
      </c>
      <c r="C1777" s="21">
        <v>1159005</v>
      </c>
      <c r="D1777" s="16" t="str">
        <f>IFERROR(VLOOKUP(Tabela5[[#This Row],[PREFIXO ]],Tabela4[#All],2,0),"CENTRO DE CUSTO")</f>
        <v>TRAT PN MED JOHN DEERE 7500</v>
      </c>
      <c r="E1777" s="18" t="s">
        <v>71</v>
      </c>
      <c r="F1777" s="21">
        <v>7797</v>
      </c>
      <c r="G1777" s="22">
        <v>1795</v>
      </c>
      <c r="H1777" s="22">
        <v>366.98</v>
      </c>
      <c r="I1777" s="22">
        <f t="shared" si="28"/>
        <v>2161.98</v>
      </c>
      <c r="J1777" s="18" t="s">
        <v>1196</v>
      </c>
      <c r="K1777" s="18" t="s">
        <v>4072</v>
      </c>
      <c r="L1777" s="18" t="s">
        <v>4073</v>
      </c>
      <c r="M1777" s="18">
        <v>41890747</v>
      </c>
      <c r="N1777" s="16">
        <v>46191</v>
      </c>
      <c r="O1777" s="18" t="s">
        <v>4074</v>
      </c>
      <c r="P1777" s="18" t="s">
        <v>4075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>
      <c r="A1778" s="30">
        <v>46176</v>
      </c>
      <c r="B1778" s="16">
        <v>46181</v>
      </c>
      <c r="C1778" s="21">
        <v>22030259</v>
      </c>
      <c r="D1778" s="16" t="str">
        <f>IFERROR(VLOOKUP(Tabela5[[#This Row],[PREFIXO ]],Tabela4[#All],2,0),"CENTRO DE CUSTO")</f>
        <v>CENTRO DE CUSTO</v>
      </c>
      <c r="E1778" s="18" t="s">
        <v>328</v>
      </c>
      <c r="F1778" s="21">
        <v>7645</v>
      </c>
      <c r="G1778" s="22">
        <v>1020</v>
      </c>
      <c r="H1778" s="22">
        <v>787.92</v>
      </c>
      <c r="I1778" s="22">
        <f t="shared" si="28"/>
        <v>1807.92</v>
      </c>
      <c r="J1778" s="33" t="s">
        <v>1082</v>
      </c>
      <c r="K1778" s="18" t="s">
        <v>4076</v>
      </c>
      <c r="L1778" s="18" t="s">
        <v>4077</v>
      </c>
      <c r="M1778" s="18">
        <v>41883226</v>
      </c>
      <c r="N1778" s="16">
        <v>46181</v>
      </c>
      <c r="O1778" s="18" t="s">
        <v>4078</v>
      </c>
      <c r="P1778" s="18" t="s">
        <v>3296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>
      <c r="A1779" s="30">
        <v>46176</v>
      </c>
      <c r="B1779" s="16">
        <v>46181</v>
      </c>
      <c r="C1779" s="21">
        <v>22030123</v>
      </c>
      <c r="D1779" s="16" t="str">
        <f>IFERROR(VLOOKUP(Tabela5[[#This Row],[PREFIXO ]],Tabela4[#All],2,0),"CENTRO DE CUSTO")</f>
        <v>AUTOMOVEL FIAT FIORINO ENDURANCE</v>
      </c>
      <c r="E1779" s="18" t="s">
        <v>328</v>
      </c>
      <c r="F1779" s="21">
        <v>7548</v>
      </c>
      <c r="G1779" s="22">
        <v>40</v>
      </c>
      <c r="H1779" s="22">
        <v>1279</v>
      </c>
      <c r="I1779" s="22">
        <f t="shared" si="28"/>
        <v>1319</v>
      </c>
      <c r="J1779" s="33" t="s">
        <v>1082</v>
      </c>
      <c r="K1779" s="18" t="s">
        <v>4079</v>
      </c>
      <c r="L1779" s="18" t="s">
        <v>4080</v>
      </c>
      <c r="M1779" s="18">
        <v>41883216</v>
      </c>
      <c r="N1779" s="16">
        <v>46181</v>
      </c>
      <c r="O1779" s="18" t="s">
        <v>4081</v>
      </c>
      <c r="P1779" s="18" t="s">
        <v>3296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>
      <c r="A1780" s="30">
        <v>46176</v>
      </c>
      <c r="B1780" s="16">
        <v>46181</v>
      </c>
      <c r="C1780" s="21">
        <v>1173061</v>
      </c>
      <c r="D1780" s="16" t="str">
        <f>IFERROR(VLOOKUP(Tabela5[[#This Row],[PREFIXO ]],Tabela4[#All],2,0),"CENTRO DE CUSTO")</f>
        <v>TRAT PN MED M FERGUSON MF 297</v>
      </c>
      <c r="E1780" s="18" t="s">
        <v>347</v>
      </c>
      <c r="F1780" s="21">
        <v>1205</v>
      </c>
      <c r="G1780" s="22">
        <v>1860</v>
      </c>
      <c r="H1780" s="22">
        <v>8579</v>
      </c>
      <c r="I1780" s="22">
        <f t="shared" si="28"/>
        <v>10439</v>
      </c>
      <c r="J1780" s="18" t="s">
        <v>1196</v>
      </c>
      <c r="K1780" s="18" t="s">
        <v>4082</v>
      </c>
      <c r="L1780" s="18" t="s">
        <v>4083</v>
      </c>
      <c r="M1780" s="18">
        <v>41884153</v>
      </c>
      <c r="N1780" s="16">
        <v>46182</v>
      </c>
      <c r="O1780" s="18" t="s">
        <v>4084</v>
      </c>
      <c r="P1780" s="18" t="s">
        <v>3850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>
      <c r="A1781" s="30">
        <v>46176</v>
      </c>
      <c r="B1781" s="30">
        <v>46177</v>
      </c>
      <c r="C1781" s="31" t="s">
        <v>4085</v>
      </c>
      <c r="D1781" s="30" t="str">
        <f>IFERROR(VLOOKUP(Tabela5[[#This Row],[PREFIXO ]],Tabela4[#All],2,0),"CENTRO DE CUSTO")</f>
        <v>CENTRO DE CUSTO</v>
      </c>
      <c r="E1781" s="18" t="s">
        <v>252</v>
      </c>
      <c r="F1781" s="31">
        <v>202624</v>
      </c>
      <c r="G1781" s="32">
        <v>1140</v>
      </c>
      <c r="H1781" s="32"/>
      <c r="I1781" s="32">
        <f t="shared" si="28"/>
        <v>1140</v>
      </c>
      <c r="J1781" s="18" t="s">
        <v>1082</v>
      </c>
      <c r="K1781" s="33" t="s">
        <v>4086</v>
      </c>
      <c r="L1781" s="18">
        <v>943186</v>
      </c>
      <c r="M1781" s="33" t="s">
        <v>4087</v>
      </c>
      <c r="N1781" s="30">
        <v>46146</v>
      </c>
      <c r="O1781" s="33" t="s">
        <v>4088</v>
      </c>
      <c r="P1781" s="33" t="s">
        <v>4089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>
      <c r="A1782" s="30">
        <v>46176</v>
      </c>
      <c r="B1782" s="30">
        <v>46181</v>
      </c>
      <c r="C1782" s="31">
        <v>51521065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987</v>
      </c>
      <c r="G1782" s="32">
        <v>2500</v>
      </c>
      <c r="H1782" s="32"/>
      <c r="I1782" s="32">
        <f t="shared" si="28"/>
        <v>2500</v>
      </c>
      <c r="J1782" s="18" t="s">
        <v>1120</v>
      </c>
      <c r="K1782" s="33" t="s">
        <v>4090</v>
      </c>
      <c r="L1782" s="18" t="s">
        <v>4091</v>
      </c>
      <c r="M1782" s="33">
        <v>41883527</v>
      </c>
      <c r="N1782" s="30">
        <v>46181</v>
      </c>
      <c r="O1782" s="33" t="s">
        <v>1856</v>
      </c>
      <c r="P1782" s="33" t="s">
        <v>3624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>
      <c r="A1783" s="30">
        <v>46176</v>
      </c>
      <c r="B1783" s="16">
        <v>46181</v>
      </c>
      <c r="C1783" s="21">
        <v>51521064</v>
      </c>
      <c r="D1783" s="16" t="str">
        <f>IFERROR(VLOOKUP(Tabela5[[#This Row],[PREFIXO ]],Tabela4[#All],2,0),"CENTRO DE CUSTO")</f>
        <v>COLHED ALGODÃO JOHN DEERE CP 690</v>
      </c>
      <c r="E1783" s="18" t="s">
        <v>255</v>
      </c>
      <c r="F1783" s="21">
        <v>986</v>
      </c>
      <c r="G1783" s="22">
        <v>2500</v>
      </c>
      <c r="H1783" s="22"/>
      <c r="I1783" s="22">
        <f t="shared" si="28"/>
        <v>2500</v>
      </c>
      <c r="J1783" s="18" t="s">
        <v>1120</v>
      </c>
      <c r="K1783" s="18" t="s">
        <v>4092</v>
      </c>
      <c r="L1783" s="18" t="s">
        <v>4091</v>
      </c>
      <c r="M1783" s="18">
        <v>41883527</v>
      </c>
      <c r="N1783" s="30">
        <v>46181</v>
      </c>
      <c r="O1783" s="18" t="s">
        <v>1856</v>
      </c>
      <c r="P1783" s="18" t="s">
        <v>3624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>
      <c r="A1784" s="30">
        <v>46176</v>
      </c>
      <c r="B1784" s="16">
        <v>46181</v>
      </c>
      <c r="C1784" s="21">
        <v>51521052</v>
      </c>
      <c r="D1784" s="16" t="str">
        <f>IFERROR(VLOOKUP(Tabela5[[#This Row],[PREFIXO ]],Tabela4[#All],2,0),"CENTRO DE CUSTO")</f>
        <v>COLHED ALGODÃO JOHN DEERE CP 690</v>
      </c>
      <c r="E1784" s="18" t="s">
        <v>255</v>
      </c>
      <c r="F1784" s="21">
        <v>989</v>
      </c>
      <c r="G1784" s="22">
        <v>2500</v>
      </c>
      <c r="H1784" s="22"/>
      <c r="I1784" s="22">
        <f t="shared" si="28"/>
        <v>2500</v>
      </c>
      <c r="J1784" s="18" t="s">
        <v>1120</v>
      </c>
      <c r="K1784" s="18" t="s">
        <v>4093</v>
      </c>
      <c r="L1784" s="18" t="s">
        <v>4091</v>
      </c>
      <c r="M1784" s="18">
        <v>41883527</v>
      </c>
      <c r="N1784" s="41">
        <v>46181</v>
      </c>
      <c r="O1784" s="18" t="s">
        <v>1856</v>
      </c>
      <c r="P1784" s="18" t="s">
        <v>3624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>
      <c r="A1785" s="30">
        <v>46176</v>
      </c>
      <c r="B1785" s="16">
        <v>46181</v>
      </c>
      <c r="C1785" s="21">
        <v>51521060</v>
      </c>
      <c r="D1785" s="16" t="str">
        <f>IFERROR(VLOOKUP(Tabela5[[#This Row],[PREFIXO ]],Tabela4[#All],2,0),"CENTRO DE CUSTO")</f>
        <v>COLHED ALGODÃO JOHN DEERE CP 690</v>
      </c>
      <c r="E1785" s="18" t="s">
        <v>255</v>
      </c>
      <c r="F1785" s="21">
        <v>985</v>
      </c>
      <c r="G1785" s="22">
        <v>1600</v>
      </c>
      <c r="H1785" s="22"/>
      <c r="I1785" s="22">
        <f t="shared" si="28"/>
        <v>1600</v>
      </c>
      <c r="J1785" s="18" t="s">
        <v>1120</v>
      </c>
      <c r="K1785" s="18" t="s">
        <v>4094</v>
      </c>
      <c r="L1785" s="33" t="s">
        <v>4091</v>
      </c>
      <c r="M1785" s="18">
        <v>41883527</v>
      </c>
      <c r="N1785" s="41">
        <v>46181</v>
      </c>
      <c r="O1785" s="18" t="s">
        <v>1856</v>
      </c>
      <c r="P1785" s="18" t="s">
        <v>3624</v>
      </c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CONCLUÍDO</v>
      </c>
      <c r="R1785" s="18"/>
    </row>
    <row r="1786" spans="1:21">
      <c r="A1786" s="30">
        <v>46176</v>
      </c>
      <c r="B1786" s="30">
        <v>46181</v>
      </c>
      <c r="C1786" s="31">
        <v>51519055</v>
      </c>
      <c r="D1786" s="30" t="str">
        <f>IFERROR(VLOOKUP(Tabela5[[#This Row],[PREFIXO ]],Tabela4[#All],2,0),"CENTRO DE CUSTO")</f>
        <v>COLHED ALGODÃO JOHN DEERE CP 770</v>
      </c>
      <c r="E1786" s="33" t="s">
        <v>255</v>
      </c>
      <c r="F1786" s="31">
        <v>984</v>
      </c>
      <c r="G1786" s="32">
        <v>1550</v>
      </c>
      <c r="H1786" s="32"/>
      <c r="I1786" s="32">
        <f t="shared" si="28"/>
        <v>1550</v>
      </c>
      <c r="J1786" s="18" t="s">
        <v>1120</v>
      </c>
      <c r="K1786" s="33" t="s">
        <v>4095</v>
      </c>
      <c r="L1786" s="33" t="s">
        <v>4091</v>
      </c>
      <c r="M1786" s="33">
        <v>41883527</v>
      </c>
      <c r="N1786" s="30">
        <v>46181</v>
      </c>
      <c r="O1786" s="33" t="s">
        <v>1856</v>
      </c>
      <c r="P1786" s="33" t="s">
        <v>3624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>
      <c r="A1787" s="30">
        <v>46176</v>
      </c>
      <c r="B1787" s="30">
        <v>46190</v>
      </c>
      <c r="C1787" s="31">
        <v>23110001</v>
      </c>
      <c r="D1787" s="30" t="str">
        <f>IFERROR(VLOOKUP(Tabela5[[#This Row],[PREFIXO ]],Tabela4[#All],2,0),"CENTRO DE CUSTO")</f>
        <v>TRAT PN EXT PES FENDT VARIO 1050</v>
      </c>
      <c r="E1787" s="33" t="s">
        <v>259</v>
      </c>
      <c r="F1787" s="31" t="s">
        <v>4096</v>
      </c>
      <c r="G1787" s="32">
        <v>50.43</v>
      </c>
      <c r="H1787" s="32">
        <v>546.16</v>
      </c>
      <c r="I1787" s="32">
        <f t="shared" si="28"/>
        <v>596.58999999999992</v>
      </c>
      <c r="J1787" s="33" t="s">
        <v>1196</v>
      </c>
      <c r="K1787" s="33" t="s">
        <v>4097</v>
      </c>
      <c r="L1787" s="33" t="s">
        <v>4098</v>
      </c>
      <c r="M1787" s="33">
        <v>41890143</v>
      </c>
      <c r="N1787" s="30">
        <v>46190</v>
      </c>
      <c r="O1787" s="33" t="s">
        <v>4099</v>
      </c>
      <c r="P1787" s="33" t="s">
        <v>4100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>
      <c r="A1788" s="30">
        <v>46177</v>
      </c>
      <c r="B1788" s="16">
        <v>46185</v>
      </c>
      <c r="C1788" s="21">
        <v>500580349</v>
      </c>
      <c r="D1788" s="16" t="str">
        <f>IFERROR(VLOOKUP(Tabela5[[#This Row],[PREFIXO ]],Tabela4[#All],2,0),"CENTRO DE CUSTO")</f>
        <v>ADUBADORES AUTOPROPE</v>
      </c>
      <c r="E1788" s="18" t="s">
        <v>51</v>
      </c>
      <c r="F1788" s="21">
        <v>343</v>
      </c>
      <c r="G1788" s="22">
        <v>26645</v>
      </c>
      <c r="H1788" s="22"/>
      <c r="I1788" s="22">
        <f t="shared" si="28"/>
        <v>26645</v>
      </c>
      <c r="J1788" s="18" t="s">
        <v>1262</v>
      </c>
      <c r="K1788" s="18" t="s">
        <v>4101</v>
      </c>
      <c r="L1788" s="18" t="s">
        <v>4102</v>
      </c>
      <c r="M1788" s="18" t="s">
        <v>4103</v>
      </c>
      <c r="N1788" s="30">
        <v>46189</v>
      </c>
      <c r="O1788" s="18" t="s">
        <v>1305</v>
      </c>
      <c r="P1788" s="18" t="s">
        <v>3759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>
      <c r="A1789" s="30">
        <v>46178</v>
      </c>
      <c r="B1789" s="16">
        <v>46184</v>
      </c>
      <c r="C1789" s="21">
        <v>15730001</v>
      </c>
      <c r="D1789" s="16" t="str">
        <f>IFERROR(VLOOKUP(Tabela5[[#This Row],[PREFIXO ]],Tabela4[#All],2,0),"CENTRO DE CUSTO")</f>
        <v>IMPL COLHEIT GRÃOS COLOMBO TWIN MASTER 3</v>
      </c>
      <c r="E1789" s="18" t="s">
        <v>62</v>
      </c>
      <c r="F1789" s="21">
        <v>1399</v>
      </c>
      <c r="G1789" s="22">
        <v>2990</v>
      </c>
      <c r="H1789" s="22"/>
      <c r="I1789" s="22">
        <f t="shared" ref="I1789:I1852" si="29">G1789+H1789</f>
        <v>2990</v>
      </c>
      <c r="J1789" s="18" t="s">
        <v>1196</v>
      </c>
      <c r="K1789" s="18" t="s">
        <v>4104</v>
      </c>
      <c r="L1789" s="18" t="s">
        <v>4105</v>
      </c>
      <c r="M1789" s="18">
        <v>41886549</v>
      </c>
      <c r="N1789" s="41">
        <v>46185</v>
      </c>
      <c r="O1789" s="18" t="s">
        <v>1743</v>
      </c>
      <c r="P1789" s="18" t="s">
        <v>3594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>
      <c r="A1790" s="30">
        <v>46178</v>
      </c>
      <c r="B1790" s="16">
        <v>46184</v>
      </c>
      <c r="C1790" s="21">
        <v>51521056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4106</v>
      </c>
      <c r="G1790" s="22">
        <v>648.79</v>
      </c>
      <c r="H1790" s="22">
        <v>910</v>
      </c>
      <c r="I1790" s="22">
        <f t="shared" si="29"/>
        <v>1558.79</v>
      </c>
      <c r="J1790" s="18" t="s">
        <v>1110</v>
      </c>
      <c r="K1790" s="18" t="s">
        <v>4107</v>
      </c>
      <c r="L1790" s="18" t="s">
        <v>4108</v>
      </c>
      <c r="M1790" s="18" t="s">
        <v>4109</v>
      </c>
      <c r="N1790" s="41">
        <v>46185</v>
      </c>
      <c r="O1790" s="18" t="s">
        <v>4110</v>
      </c>
      <c r="P1790" s="18" t="s">
        <v>4111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>
      <c r="A1791" s="30">
        <v>46178</v>
      </c>
      <c r="B1791" s="16">
        <v>46184</v>
      </c>
      <c r="C1791" s="21">
        <v>51521072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4112</v>
      </c>
      <c r="G1791" s="22">
        <v>113.17</v>
      </c>
      <c r="H1791" s="22">
        <v>324</v>
      </c>
      <c r="I1791" s="22">
        <f t="shared" si="29"/>
        <v>437.17</v>
      </c>
      <c r="J1791" s="18" t="s">
        <v>1110</v>
      </c>
      <c r="K1791" s="18" t="s">
        <v>4113</v>
      </c>
      <c r="L1791" s="18" t="s">
        <v>4114</v>
      </c>
      <c r="M1791" s="18" t="s">
        <v>4115</v>
      </c>
      <c r="N1791" s="41">
        <v>46185</v>
      </c>
      <c r="O1791" s="18" t="s">
        <v>4116</v>
      </c>
      <c r="P1791" s="18" t="s">
        <v>4100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>
      <c r="A1792" s="30">
        <v>46178</v>
      </c>
      <c r="B1792" s="30">
        <v>46185</v>
      </c>
      <c r="C1792" s="31">
        <v>51521063</v>
      </c>
      <c r="D1792" s="30" t="str">
        <f>IFERROR(VLOOKUP(Tabela5[[#This Row],[PREFIXO ]],Tabela4[#All],2,0),"CENTRO DE CUSTO")</f>
        <v>COLHED ALGODÃO JOHN DEERE CP 690</v>
      </c>
      <c r="E1792" s="33" t="s">
        <v>96</v>
      </c>
      <c r="F1792" s="31" t="s">
        <v>4117</v>
      </c>
      <c r="G1792" s="32">
        <v>333</v>
      </c>
      <c r="H1792" s="32">
        <v>170.77</v>
      </c>
      <c r="I1792" s="32">
        <f t="shared" si="29"/>
        <v>503.77</v>
      </c>
      <c r="J1792" s="33" t="s">
        <v>1110</v>
      </c>
      <c r="K1792" s="33" t="s">
        <v>4118</v>
      </c>
      <c r="L1792" s="33" t="s">
        <v>4119</v>
      </c>
      <c r="M1792" s="33" t="s">
        <v>4120</v>
      </c>
      <c r="N1792" s="30">
        <v>46185</v>
      </c>
      <c r="O1792" s="33" t="s">
        <v>4121</v>
      </c>
      <c r="P1792" s="33" t="s">
        <v>4100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>
      <c r="A1793" s="30">
        <v>46195</v>
      </c>
      <c r="B1793" s="30">
        <v>46198</v>
      </c>
      <c r="C1793" s="31">
        <v>500580100</v>
      </c>
      <c r="D1793" s="30" t="str">
        <f>IFERROR(VLOOKUP(Tabela5[[#This Row],[PREFIXO ]],Tabela4[#All],2,0),"CENTRO DE CUSTO")</f>
        <v>Autopropelidos</v>
      </c>
      <c r="E1793" s="33" t="s">
        <v>62</v>
      </c>
      <c r="F1793" s="31">
        <v>1398</v>
      </c>
      <c r="G1793" s="32">
        <v>3900</v>
      </c>
      <c r="H1793" s="32"/>
      <c r="I1793" s="32">
        <f t="shared" si="29"/>
        <v>3900</v>
      </c>
      <c r="J1793" s="33" t="s">
        <v>1077</v>
      </c>
      <c r="K1793" s="33" t="s">
        <v>4122</v>
      </c>
      <c r="L1793" s="33" t="s">
        <v>4123</v>
      </c>
      <c r="M1793" s="33" t="s">
        <v>4124</v>
      </c>
      <c r="N1793" s="30">
        <v>46198</v>
      </c>
      <c r="O1793" s="33" t="s">
        <v>4125</v>
      </c>
      <c r="P1793" s="18" t="s">
        <v>3655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>
      <c r="A1794" s="30">
        <v>46195</v>
      </c>
      <c r="B1794" s="30">
        <v>46198</v>
      </c>
      <c r="C1794" s="31">
        <v>500580072</v>
      </c>
      <c r="D1794" s="30" t="str">
        <f>IFERROR(VLOOKUP(Tabela5[[#This Row],[PREFIXO ]],Tabela4[#All],2,0),"CENTRO DE CUSTO")</f>
        <v>Tratores Médios</v>
      </c>
      <c r="E1794" s="33" t="s">
        <v>62</v>
      </c>
      <c r="F1794" s="31">
        <v>1432</v>
      </c>
      <c r="G1794" s="32">
        <v>1220</v>
      </c>
      <c r="H1794" s="32"/>
      <c r="I1794" s="32">
        <f t="shared" si="29"/>
        <v>1220</v>
      </c>
      <c r="J1794" s="33" t="s">
        <v>1196</v>
      </c>
      <c r="K1794" s="33" t="s">
        <v>4126</v>
      </c>
      <c r="L1794" s="33" t="s">
        <v>4123</v>
      </c>
      <c r="M1794" s="33" t="s">
        <v>4124</v>
      </c>
      <c r="N1794" s="30">
        <v>46198</v>
      </c>
      <c r="O1794" s="33" t="s">
        <v>4125</v>
      </c>
      <c r="P1794" s="18" t="s">
        <v>3655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>
      <c r="A1795" s="30">
        <v>46178</v>
      </c>
      <c r="B1795" s="30">
        <v>46184</v>
      </c>
      <c r="C1795" s="31">
        <v>61521083</v>
      </c>
      <c r="D1795" s="30" t="str">
        <f>IFERROR(VLOOKUP(Tabela5[[#This Row],[PREFIXO ]],Tabela4[#All],2,0),"CENTRO DE CUSTO")</f>
        <v>CAM COMBOIO VOLVO VM 330</v>
      </c>
      <c r="E1795" s="33" t="s">
        <v>227</v>
      </c>
      <c r="F1795" s="31" t="s">
        <v>4127</v>
      </c>
      <c r="G1795" s="32">
        <v>1320.12</v>
      </c>
      <c r="H1795" s="32"/>
      <c r="I1795" s="32">
        <f t="shared" si="29"/>
        <v>1320.12</v>
      </c>
      <c r="J1795" s="33" t="s">
        <v>1082</v>
      </c>
      <c r="K1795" s="33" t="s">
        <v>4128</v>
      </c>
      <c r="L1795" s="33" t="s">
        <v>4129</v>
      </c>
      <c r="M1795" s="33" t="s">
        <v>4130</v>
      </c>
      <c r="N1795" s="30">
        <v>46189</v>
      </c>
      <c r="O1795" s="33" t="s">
        <v>4131</v>
      </c>
      <c r="P1795" s="33" t="s">
        <v>3802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>
      <c r="A1796" s="30">
        <v>46178</v>
      </c>
      <c r="B1796" s="30">
        <v>46184</v>
      </c>
      <c r="C1796" s="31" t="s">
        <v>4132</v>
      </c>
      <c r="D1796" s="30" t="str">
        <f>IFERROR(VLOOKUP(Tabela5[[#This Row],[PREFIXO ]],Tabela4[#All],2,0),"CENTRO DE CUSTO")</f>
        <v>CENTRO DE CUSTO</v>
      </c>
      <c r="E1796" s="33" t="s">
        <v>312</v>
      </c>
      <c r="F1796" s="31" t="s">
        <v>4133</v>
      </c>
      <c r="G1796" s="32">
        <v>20599</v>
      </c>
      <c r="H1796" s="32"/>
      <c r="I1796" s="32">
        <f t="shared" si="29"/>
        <v>20599</v>
      </c>
      <c r="J1796" s="33" t="s">
        <v>1196</v>
      </c>
      <c r="K1796" s="33" t="s">
        <v>4134</v>
      </c>
      <c r="L1796" s="33" t="s">
        <v>4135</v>
      </c>
      <c r="M1796" s="33">
        <v>41887272</v>
      </c>
      <c r="N1796" s="30">
        <v>46185</v>
      </c>
      <c r="O1796" s="33" t="s">
        <v>2353</v>
      </c>
      <c r="P1796" s="33" t="s">
        <v>3568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>
      <c r="A1797" s="30">
        <v>46178</v>
      </c>
      <c r="B1797" s="30">
        <v>46184</v>
      </c>
      <c r="C1797" s="31">
        <v>1173005</v>
      </c>
      <c r="D1797" s="30" t="str">
        <f>IFERROR(VLOOKUP(Tabela5[[#This Row],[PREFIXO ]],Tabela4[#All],2,0),"CENTRO DE CUSTO")</f>
        <v>TRAT PN LEVE M FERGUSON MF 275</v>
      </c>
      <c r="E1797" s="33" t="s">
        <v>312</v>
      </c>
      <c r="F1797" s="31" t="s">
        <v>4136</v>
      </c>
      <c r="G1797" s="32">
        <v>1337.5</v>
      </c>
      <c r="H1797" s="32"/>
      <c r="I1797" s="32">
        <f t="shared" si="29"/>
        <v>1337.5</v>
      </c>
      <c r="J1797" s="33" t="s">
        <v>1196</v>
      </c>
      <c r="K1797" s="33" t="s">
        <v>4137</v>
      </c>
      <c r="L1797" s="33" t="s">
        <v>4138</v>
      </c>
      <c r="M1797" s="33">
        <v>41886548</v>
      </c>
      <c r="N1797" s="30">
        <v>46185</v>
      </c>
      <c r="O1797" s="33" t="s">
        <v>2422</v>
      </c>
      <c r="P1797" s="33" t="s">
        <v>3281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>
      <c r="A1798" s="30">
        <v>46178</v>
      </c>
      <c r="B1798" s="30">
        <v>46184</v>
      </c>
      <c r="C1798" s="31">
        <v>11521022</v>
      </c>
      <c r="D1798" s="30" t="str">
        <f>IFERROR(VLOOKUP(Tabela5[[#This Row],[PREFIXO ]],Tabela4[#All],2,0),"CENTRO DE CUSTO")</f>
        <v>TRAT PN MED CASE PUMA 140</v>
      </c>
      <c r="E1798" s="33" t="s">
        <v>312</v>
      </c>
      <c r="F1798" s="31" t="s">
        <v>4139</v>
      </c>
      <c r="G1798" s="32">
        <v>1428</v>
      </c>
      <c r="H1798" s="32"/>
      <c r="I1798" s="32">
        <f t="shared" si="29"/>
        <v>1428</v>
      </c>
      <c r="J1798" s="33" t="s">
        <v>1196</v>
      </c>
      <c r="K1798" s="33" t="s">
        <v>4140</v>
      </c>
      <c r="L1798" s="33" t="s">
        <v>4138</v>
      </c>
      <c r="M1798" s="33">
        <v>41886548</v>
      </c>
      <c r="N1798" s="30">
        <v>46185</v>
      </c>
      <c r="O1798" s="33" t="s">
        <v>2422</v>
      </c>
      <c r="P1798" s="33" t="s">
        <v>3281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>
      <c r="A1799" s="30">
        <v>46178</v>
      </c>
      <c r="B1799" s="30">
        <v>46185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44615</v>
      </c>
      <c r="G1799" s="32">
        <v>5133</v>
      </c>
      <c r="H1799" s="32">
        <v>3096.88</v>
      </c>
      <c r="I1799" s="32">
        <f t="shared" si="29"/>
        <v>8229.880000000001</v>
      </c>
      <c r="J1799" s="18" t="s">
        <v>1120</v>
      </c>
      <c r="K1799" s="33" t="s">
        <v>4141</v>
      </c>
      <c r="L1799" s="33" t="s">
        <v>4142</v>
      </c>
      <c r="M1799" s="33" t="s">
        <v>4143</v>
      </c>
      <c r="N1799" s="30">
        <v>46188</v>
      </c>
      <c r="O1799" s="33" t="s">
        <v>4144</v>
      </c>
      <c r="P1799" s="33" t="s">
        <v>3759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>
      <c r="A1800" s="30">
        <v>46178</v>
      </c>
      <c r="B1800" s="30">
        <v>46192</v>
      </c>
      <c r="C1800" s="31">
        <v>51521061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44147</v>
      </c>
      <c r="G1800" s="32">
        <v>9662.2199999999993</v>
      </c>
      <c r="H1800" s="32">
        <v>29654.65</v>
      </c>
      <c r="I1800" s="32">
        <f t="shared" si="29"/>
        <v>39316.870000000003</v>
      </c>
      <c r="J1800" s="18" t="s">
        <v>1120</v>
      </c>
      <c r="K1800" s="33" t="s">
        <v>4145</v>
      </c>
      <c r="L1800" s="33" t="s">
        <v>4146</v>
      </c>
      <c r="M1800" s="33" t="s">
        <v>4147</v>
      </c>
      <c r="N1800" s="30">
        <v>46194</v>
      </c>
      <c r="O1800" s="33" t="s">
        <v>4148</v>
      </c>
      <c r="P1800" s="33" t="s">
        <v>3594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>
      <c r="A1801" s="30">
        <v>46178</v>
      </c>
      <c r="B1801" s="30">
        <v>46192</v>
      </c>
      <c r="C1801" s="31">
        <v>51521059</v>
      </c>
      <c r="D1801" s="30" t="str">
        <f>IFERROR(VLOOKUP(Tabela5[[#This Row],[PREFIXO ]],Tabela4[#All],2,0),"CENTRO DE CUSTO")</f>
        <v>COLHED ALGODÃO JOHN DEERE CP 690</v>
      </c>
      <c r="E1801" s="33" t="s">
        <v>17</v>
      </c>
      <c r="F1801" s="31">
        <v>44453</v>
      </c>
      <c r="G1801" s="32">
        <v>8982.75</v>
      </c>
      <c r="H1801" s="32">
        <v>27245.33</v>
      </c>
      <c r="I1801" s="32">
        <f t="shared" si="29"/>
        <v>36228.080000000002</v>
      </c>
      <c r="J1801" s="18" t="s">
        <v>1120</v>
      </c>
      <c r="K1801" s="33" t="s">
        <v>4149</v>
      </c>
      <c r="L1801" s="33" t="s">
        <v>4150</v>
      </c>
      <c r="M1801" s="33" t="s">
        <v>4151</v>
      </c>
      <c r="N1801" s="30">
        <v>46195</v>
      </c>
      <c r="O1801" s="33" t="s">
        <v>4152</v>
      </c>
      <c r="P1801" s="33" t="s">
        <v>3594</v>
      </c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CONCLUÍDO</v>
      </c>
      <c r="R1801" s="33"/>
    </row>
    <row r="1802" spans="1:18">
      <c r="A1802" s="30">
        <v>46178</v>
      </c>
      <c r="B1802" s="30">
        <v>46192</v>
      </c>
      <c r="C1802" s="31">
        <v>51521049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44448</v>
      </c>
      <c r="G1802" s="32">
        <v>2542.88</v>
      </c>
      <c r="H1802" s="32">
        <v>3475.12</v>
      </c>
      <c r="I1802" s="32">
        <f t="shared" si="29"/>
        <v>6018</v>
      </c>
      <c r="J1802" s="18" t="s">
        <v>1120</v>
      </c>
      <c r="K1802" s="33" t="s">
        <v>4153</v>
      </c>
      <c r="L1802" s="33" t="s">
        <v>4154</v>
      </c>
      <c r="M1802" s="33" t="s">
        <v>4155</v>
      </c>
      <c r="N1802" s="30">
        <v>46192</v>
      </c>
      <c r="O1802" s="33" t="s">
        <v>4156</v>
      </c>
      <c r="P1802" s="33" t="s">
        <v>3594</v>
      </c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CONCLUÍDO</v>
      </c>
      <c r="R1802" s="33"/>
    </row>
    <row r="1803" spans="1:18">
      <c r="A1803" s="30">
        <v>46178</v>
      </c>
      <c r="B1803" s="30">
        <v>46185</v>
      </c>
      <c r="C1803" s="31">
        <v>51521070</v>
      </c>
      <c r="D1803" s="30" t="str">
        <f>IFERROR(VLOOKUP(Tabela5[[#This Row],[PREFIXO ]],Tabela4[#All],2,0),"CENTRO DE CUSTO")</f>
        <v>COLHED ALGODÃO JOHN DEERE CP 690</v>
      </c>
      <c r="E1803" s="33" t="s">
        <v>17</v>
      </c>
      <c r="F1803" s="31">
        <v>44466</v>
      </c>
      <c r="G1803" s="32">
        <v>2074.58</v>
      </c>
      <c r="H1803" s="32">
        <v>261.37</v>
      </c>
      <c r="I1803" s="32">
        <f t="shared" si="29"/>
        <v>2335.9499999999998</v>
      </c>
      <c r="J1803" s="18" t="s">
        <v>1120</v>
      </c>
      <c r="K1803" s="33" t="s">
        <v>4157</v>
      </c>
      <c r="L1803" s="33" t="s">
        <v>4158</v>
      </c>
      <c r="M1803" s="33" t="s">
        <v>4159</v>
      </c>
      <c r="N1803" s="30">
        <v>46188</v>
      </c>
      <c r="O1803" s="33" t="s">
        <v>4160</v>
      </c>
      <c r="P1803" s="33" t="s">
        <v>4161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>
      <c r="A1804" s="30">
        <v>46195</v>
      </c>
      <c r="B1804" s="30">
        <v>46198</v>
      </c>
      <c r="C1804" s="31">
        <v>500580090</v>
      </c>
      <c r="D1804" s="30" t="str">
        <f>IFERROR(VLOOKUP(Tabela5[[#This Row],[PREFIXO ]],Tabela4[#All],2,0),"CENTRO DE CUSTO")</f>
        <v>Plantadeiras</v>
      </c>
      <c r="E1804" s="33" t="s">
        <v>62</v>
      </c>
      <c r="F1804" s="31">
        <v>1424</v>
      </c>
      <c r="G1804" s="32">
        <v>4720</v>
      </c>
      <c r="H1804" s="32"/>
      <c r="I1804" s="32">
        <f t="shared" si="29"/>
        <v>4720</v>
      </c>
      <c r="J1804" s="33" t="s">
        <v>1196</v>
      </c>
      <c r="K1804" s="33" t="s">
        <v>4162</v>
      </c>
      <c r="L1804" s="33" t="s">
        <v>4123</v>
      </c>
      <c r="M1804" s="33" t="s">
        <v>4124</v>
      </c>
      <c r="N1804" s="30">
        <v>46198</v>
      </c>
      <c r="O1804" s="33" t="s">
        <v>4125</v>
      </c>
      <c r="P1804" s="18" t="s">
        <v>3655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>
      <c r="A1805" s="30">
        <v>46178</v>
      </c>
      <c r="B1805" s="30">
        <v>46212</v>
      </c>
      <c r="C1805" s="31">
        <v>23220004</v>
      </c>
      <c r="D1805" s="30" t="str">
        <f>IFERROR(VLOOKUP(Tabela5[[#This Row],[PREFIXO ]],Tabela4[#All],2,0),"CENTRO DE CUSTO")</f>
        <v>COLHED ALGODÃO JOHN DEERE CP 770</v>
      </c>
      <c r="E1805" s="33" t="s">
        <v>162</v>
      </c>
      <c r="F1805" s="31">
        <v>13256</v>
      </c>
      <c r="G1805" s="32">
        <v>470</v>
      </c>
      <c r="H1805" s="32">
        <v>18790.5</v>
      </c>
      <c r="I1805" s="32">
        <f t="shared" si="29"/>
        <v>19260.5</v>
      </c>
      <c r="J1805" s="18" t="s">
        <v>1120</v>
      </c>
      <c r="K1805" s="33" t="s">
        <v>4163</v>
      </c>
      <c r="L1805" s="33" t="s">
        <v>4164</v>
      </c>
      <c r="M1805" s="33" t="s">
        <v>4165</v>
      </c>
      <c r="N1805" s="30">
        <v>46213</v>
      </c>
      <c r="O1805" s="33"/>
      <c r="P1805" s="33"/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FALTA NF</v>
      </c>
      <c r="R1805" s="33"/>
    </row>
    <row r="1806" spans="1:18">
      <c r="A1806" s="30">
        <v>46178</v>
      </c>
      <c r="B1806" s="30">
        <v>46212</v>
      </c>
      <c r="C1806" s="31">
        <v>51521072</v>
      </c>
      <c r="D1806" s="30" t="str">
        <f>IFERROR(VLOOKUP(Tabela5[[#This Row],[PREFIXO ]],Tabela4[#All],2,0),"CENTRO DE CUSTO")</f>
        <v>COLHED ALGODÃO JOHN DEERE CP 690</v>
      </c>
      <c r="E1806" s="33" t="s">
        <v>17</v>
      </c>
      <c r="F1806" s="31">
        <v>44544</v>
      </c>
      <c r="G1806" s="32">
        <v>2000</v>
      </c>
      <c r="H1806" s="32">
        <v>2177.64</v>
      </c>
      <c r="I1806" s="32">
        <f t="shared" si="29"/>
        <v>4177.6399999999994</v>
      </c>
      <c r="J1806" s="18" t="s">
        <v>1120</v>
      </c>
      <c r="K1806" s="33" t="s">
        <v>4166</v>
      </c>
      <c r="L1806" s="33" t="s">
        <v>4167</v>
      </c>
      <c r="M1806" s="33" t="s">
        <v>4168</v>
      </c>
      <c r="N1806" s="30">
        <v>46213</v>
      </c>
      <c r="O1806" s="33"/>
      <c r="P1806" s="33"/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FALTA NF</v>
      </c>
      <c r="R1806" s="33"/>
    </row>
    <row r="1807" spans="1:18">
      <c r="A1807" s="30">
        <v>46195</v>
      </c>
      <c r="B1807" s="30">
        <v>46198</v>
      </c>
      <c r="C1807" s="31">
        <v>500580325</v>
      </c>
      <c r="D1807" s="30" t="str">
        <f>IFERROR(VLOOKUP(Tabela5[[#This Row],[PREFIXO ]],Tabela4[#All],2,0),"CENTRO DE CUSTO")</f>
        <v>Colheitad. Alg Auto</v>
      </c>
      <c r="E1807" s="33" t="s">
        <v>62</v>
      </c>
      <c r="F1807" s="31">
        <v>1421</v>
      </c>
      <c r="G1807" s="32">
        <v>2200</v>
      </c>
      <c r="H1807" s="32"/>
      <c r="I1807" s="32">
        <f t="shared" si="29"/>
        <v>2200</v>
      </c>
      <c r="J1807" s="33" t="s">
        <v>1120</v>
      </c>
      <c r="K1807" s="33" t="s">
        <v>4169</v>
      </c>
      <c r="L1807" s="33" t="s">
        <v>4123</v>
      </c>
      <c r="M1807" s="33" t="s">
        <v>4124</v>
      </c>
      <c r="N1807" s="30">
        <v>46198</v>
      </c>
      <c r="O1807" s="33" t="s">
        <v>4125</v>
      </c>
      <c r="P1807" s="18" t="s">
        <v>3655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>
      <c r="A1808" s="30">
        <v>46181</v>
      </c>
      <c r="B1808" s="30">
        <v>46182</v>
      </c>
      <c r="C1808" s="31">
        <v>12060002</v>
      </c>
      <c r="D1808" s="30" t="str">
        <f>IFERROR(VLOOKUP(Tabela5[[#This Row],[PREFIXO ]],Tabela4[#All],2,0),"CENTRO DE CUSTO")</f>
        <v>ONIB RODOVIÁRIO MARCOPOLO NEOBUS MEGA</v>
      </c>
      <c r="E1808" s="33" t="s">
        <v>121</v>
      </c>
      <c r="F1808" s="31">
        <v>83</v>
      </c>
      <c r="G1808" s="32">
        <v>8932.81</v>
      </c>
      <c r="H1808" s="32"/>
      <c r="I1808" s="32">
        <f t="shared" si="29"/>
        <v>8932.81</v>
      </c>
      <c r="J1808" s="33" t="s">
        <v>1082</v>
      </c>
      <c r="K1808" s="33" t="s">
        <v>4170</v>
      </c>
      <c r="L1808" s="33" t="s">
        <v>4171</v>
      </c>
      <c r="M1808" s="33">
        <v>41885088</v>
      </c>
      <c r="N1808" s="30">
        <v>46183</v>
      </c>
      <c r="O1808" s="33" t="s">
        <v>4172</v>
      </c>
      <c r="P1808" s="33" t="s">
        <v>4173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>
      <c r="A1809" s="30">
        <v>46181</v>
      </c>
      <c r="B1809" s="30">
        <v>46182</v>
      </c>
      <c r="C1809" s="31">
        <v>61521064</v>
      </c>
      <c r="D1809" s="30" t="str">
        <f>IFERROR(VLOOKUP(Tabela5[[#This Row],[PREFIXO ]],Tabela4[#All],2,0),"CENTRO DE CUSTO")</f>
        <v>CAM ROLL ON/OFF VOLVO VM 330</v>
      </c>
      <c r="E1809" s="33" t="s">
        <v>121</v>
      </c>
      <c r="F1809" s="31">
        <v>86</v>
      </c>
      <c r="G1809" s="32">
        <v>5195.18</v>
      </c>
      <c r="H1809" s="32"/>
      <c r="I1809" s="32">
        <f t="shared" si="29"/>
        <v>5195.18</v>
      </c>
      <c r="J1809" s="33" t="s">
        <v>1082</v>
      </c>
      <c r="K1809" s="33" t="s">
        <v>4174</v>
      </c>
      <c r="L1809" s="33" t="s">
        <v>4171</v>
      </c>
      <c r="M1809" s="33">
        <v>41885088</v>
      </c>
      <c r="N1809" s="30">
        <v>46183</v>
      </c>
      <c r="O1809" s="33" t="s">
        <v>4172</v>
      </c>
      <c r="P1809" s="33" t="s">
        <v>4173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>
      <c r="A1810" s="30">
        <v>46181</v>
      </c>
      <c r="B1810" s="30">
        <v>46182</v>
      </c>
      <c r="C1810" s="31">
        <v>61521054</v>
      </c>
      <c r="D1810" s="30" t="str">
        <f>IFERROR(VLOOKUP(Tabela5[[#This Row],[PREFIXO ]],Tabela4[#All],2,0),"CENTRO DE CUSTO")</f>
        <v>CAM CARGA SECA MERC BENZ ATEGO 1719</v>
      </c>
      <c r="E1810" s="33" t="s">
        <v>121</v>
      </c>
      <c r="F1810" s="31">
        <v>85</v>
      </c>
      <c r="G1810" s="32">
        <v>5230.7</v>
      </c>
      <c r="H1810" s="32"/>
      <c r="I1810" s="32">
        <f t="shared" si="29"/>
        <v>5230.7</v>
      </c>
      <c r="J1810" s="33" t="s">
        <v>1082</v>
      </c>
      <c r="K1810" s="33" t="s">
        <v>4175</v>
      </c>
      <c r="L1810" s="33" t="s">
        <v>4171</v>
      </c>
      <c r="M1810" s="33">
        <v>41885088</v>
      </c>
      <c r="N1810" s="30">
        <v>46183</v>
      </c>
      <c r="O1810" s="33" t="s">
        <v>4172</v>
      </c>
      <c r="P1810" s="33" t="s">
        <v>4173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>
      <c r="A1811" s="30">
        <v>46181</v>
      </c>
      <c r="B1811" s="30">
        <v>46182</v>
      </c>
      <c r="C1811" s="31">
        <v>61521043</v>
      </c>
      <c r="D1811" s="30" t="str">
        <f>IFERROR(VLOOKUP(Tabela5[[#This Row],[PREFIXO ]],Tabela4[#All],2,0),"CENTRO DE CUSTO")</f>
        <v>ONIB RODOVIÁRIO MASCARELLO GRAN MIDI</v>
      </c>
      <c r="E1811" s="33" t="s">
        <v>121</v>
      </c>
      <c r="F1811" s="31">
        <v>84</v>
      </c>
      <c r="G1811" s="32">
        <v>5610.05</v>
      </c>
      <c r="H1811" s="32"/>
      <c r="I1811" s="32">
        <f t="shared" si="29"/>
        <v>5610.05</v>
      </c>
      <c r="J1811" s="33" t="s">
        <v>1082</v>
      </c>
      <c r="K1811" s="33" t="s">
        <v>4176</v>
      </c>
      <c r="L1811" s="33" t="s">
        <v>4171</v>
      </c>
      <c r="M1811" s="33">
        <v>41885088</v>
      </c>
      <c r="N1811" s="30">
        <v>46183</v>
      </c>
      <c r="O1811" s="33" t="s">
        <v>4172</v>
      </c>
      <c r="P1811" s="33" t="s">
        <v>4173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>
      <c r="A1812" s="30">
        <v>46181</v>
      </c>
      <c r="B1812" s="30">
        <v>46184</v>
      </c>
      <c r="C1812" s="31">
        <v>11521016</v>
      </c>
      <c r="D1812" s="30" t="str">
        <f>IFERROR(VLOOKUP(Tabela5[[#This Row],[PREFIXO ]],Tabela4[#All],2,0),"CENTRO DE CUSTO")</f>
        <v>TRAT PN MED CASE PUMA 140</v>
      </c>
      <c r="E1812" s="33" t="s">
        <v>240</v>
      </c>
      <c r="F1812" s="31">
        <v>472</v>
      </c>
      <c r="G1812" s="32">
        <v>2500</v>
      </c>
      <c r="H1812" s="32"/>
      <c r="I1812" s="32">
        <f t="shared" si="29"/>
        <v>2500</v>
      </c>
      <c r="J1812" s="33" t="s">
        <v>1196</v>
      </c>
      <c r="K1812" s="33" t="s">
        <v>4177</v>
      </c>
      <c r="L1812" s="33" t="s">
        <v>4178</v>
      </c>
      <c r="M1812" s="33">
        <v>41886543</v>
      </c>
      <c r="N1812" s="30">
        <v>46185</v>
      </c>
      <c r="O1812" s="33" t="s">
        <v>2968</v>
      </c>
      <c r="P1812" s="33" t="s">
        <v>3973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>
      <c r="A1813" s="30">
        <v>46195</v>
      </c>
      <c r="B1813" s="30">
        <v>46227</v>
      </c>
      <c r="C1813" s="31">
        <v>65014011</v>
      </c>
      <c r="D1813" s="30" t="str">
        <f>IFERROR(VLOOKUP(Tabela5[[#This Row],[PREFIXO ]],Tabela4[#All],2,0),"CENTRO DE CUSTO")</f>
        <v>CENTRO DE CUSTO</v>
      </c>
      <c r="E1813" s="33" t="s">
        <v>39</v>
      </c>
      <c r="F1813" s="31">
        <v>65014011</v>
      </c>
      <c r="G1813" s="32">
        <v>2900</v>
      </c>
      <c r="H1813" s="32"/>
      <c r="I1813" s="32">
        <f t="shared" si="29"/>
        <v>2900</v>
      </c>
      <c r="J1813" s="33" t="s">
        <v>1196</v>
      </c>
      <c r="K1813" s="33" t="s">
        <v>4179</v>
      </c>
      <c r="L1813" s="33" t="s">
        <v>4180</v>
      </c>
      <c r="M1813" s="33" t="s">
        <v>4181</v>
      </c>
      <c r="N1813" s="30">
        <v>46198</v>
      </c>
      <c r="O1813" s="33" t="s">
        <v>4182</v>
      </c>
      <c r="P1813" s="33" t="s">
        <v>4183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>
      <c r="A1814" s="30">
        <v>46195</v>
      </c>
      <c r="B1814" s="30">
        <v>46227</v>
      </c>
      <c r="C1814" s="31" t="s">
        <v>4184</v>
      </c>
      <c r="D1814" s="30" t="str">
        <f>IFERROR(VLOOKUP(Tabela5[[#This Row],[PREFIXO ]],Tabela4[#All],2,0),"CENTRO DE CUSTO")</f>
        <v>CENTRO DE CUSTO</v>
      </c>
      <c r="E1814" s="33" t="s">
        <v>39</v>
      </c>
      <c r="F1814" s="31" t="s">
        <v>4184</v>
      </c>
      <c r="G1814" s="32">
        <v>4200</v>
      </c>
      <c r="H1814" s="32"/>
      <c r="I1814" s="32">
        <f t="shared" si="29"/>
        <v>4200</v>
      </c>
      <c r="J1814" s="33" t="s">
        <v>1196</v>
      </c>
      <c r="K1814" s="33" t="s">
        <v>4185</v>
      </c>
      <c r="L1814" s="33" t="s">
        <v>4180</v>
      </c>
      <c r="M1814" s="33" t="s">
        <v>4181</v>
      </c>
      <c r="N1814" s="30">
        <v>46198</v>
      </c>
      <c r="O1814" s="33" t="s">
        <v>4182</v>
      </c>
      <c r="P1814" s="33" t="s">
        <v>4183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>
      <c r="A1815" s="30">
        <v>46182</v>
      </c>
      <c r="B1815" s="30">
        <v>46185</v>
      </c>
      <c r="C1815" s="31">
        <v>51521065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44124</v>
      </c>
      <c r="G1815" s="32">
        <v>1566</v>
      </c>
      <c r="H1815" s="32"/>
      <c r="I1815" s="32">
        <f t="shared" si="29"/>
        <v>1566</v>
      </c>
      <c r="J1815" s="18" t="s">
        <v>1120</v>
      </c>
      <c r="K1815" s="33" t="s">
        <v>4186</v>
      </c>
      <c r="L1815" s="33" t="s">
        <v>4187</v>
      </c>
      <c r="M1815" s="33">
        <v>41887807</v>
      </c>
      <c r="N1815" s="30">
        <v>46188</v>
      </c>
      <c r="O1815" s="33" t="s">
        <v>4188</v>
      </c>
      <c r="P1815" s="33" t="s">
        <v>4189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>
      <c r="A1816" s="30">
        <v>46182</v>
      </c>
      <c r="B1816" s="30">
        <v>46185</v>
      </c>
      <c r="C1816" s="31">
        <v>51521053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44084</v>
      </c>
      <c r="G1816" s="32">
        <v>1937.48</v>
      </c>
      <c r="H1816" s="32"/>
      <c r="I1816" s="32">
        <f t="shared" si="29"/>
        <v>1937.48</v>
      </c>
      <c r="J1816" s="18" t="s">
        <v>1120</v>
      </c>
      <c r="K1816" s="33" t="s">
        <v>4190</v>
      </c>
      <c r="L1816" s="33" t="s">
        <v>4187</v>
      </c>
      <c r="M1816" s="33">
        <v>41887807</v>
      </c>
      <c r="N1816" s="30">
        <v>46188</v>
      </c>
      <c r="O1816" s="33" t="s">
        <v>4188</v>
      </c>
      <c r="P1816" s="33" t="s">
        <v>4189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>
      <c r="A1817" s="30">
        <v>46182</v>
      </c>
      <c r="B1817" s="30">
        <v>46185</v>
      </c>
      <c r="C1817" s="31">
        <v>51521067</v>
      </c>
      <c r="D1817" s="30" t="str">
        <f>IFERROR(VLOOKUP(Tabela5[[#This Row],[PREFIXO ]],Tabela4[#All],2,0),"CENTRO DE CUSTO")</f>
        <v>COLHED ALGODÃO JOHN DEERE CP 690</v>
      </c>
      <c r="E1817" s="33" t="s">
        <v>17</v>
      </c>
      <c r="F1817" s="31">
        <v>44122</v>
      </c>
      <c r="G1817" s="32">
        <v>1566</v>
      </c>
      <c r="H1817" s="32"/>
      <c r="I1817" s="32">
        <f t="shared" si="29"/>
        <v>1566</v>
      </c>
      <c r="J1817" s="18" t="s">
        <v>1120</v>
      </c>
      <c r="K1817" s="33" t="s">
        <v>4191</v>
      </c>
      <c r="L1817" s="33" t="s">
        <v>4187</v>
      </c>
      <c r="M1817" s="33">
        <v>41887807</v>
      </c>
      <c r="N1817" s="30">
        <v>46188</v>
      </c>
      <c r="O1817" s="33" t="s">
        <v>4188</v>
      </c>
      <c r="P1817" s="33" t="s">
        <v>4189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>
      <c r="A1818" s="30">
        <v>46182</v>
      </c>
      <c r="B1818" s="30">
        <v>46185</v>
      </c>
      <c r="C1818" s="31">
        <v>51521059</v>
      </c>
      <c r="D1818" s="30" t="str">
        <f>IFERROR(VLOOKUP(Tabela5[[#This Row],[PREFIXO ]],Tabela4[#All],2,0),"CENTRO DE CUSTO")</f>
        <v>COLHED ALGODÃO JOHN DEERE CP 690</v>
      </c>
      <c r="E1818" s="33" t="s">
        <v>17</v>
      </c>
      <c r="F1818" s="31">
        <v>44123</v>
      </c>
      <c r="G1818" s="32">
        <v>1566</v>
      </c>
      <c r="H1818" s="32"/>
      <c r="I1818" s="32">
        <f t="shared" si="29"/>
        <v>1566</v>
      </c>
      <c r="J1818" s="18" t="s">
        <v>1120</v>
      </c>
      <c r="K1818" s="33" t="s">
        <v>4192</v>
      </c>
      <c r="L1818" s="33" t="s">
        <v>4187</v>
      </c>
      <c r="M1818" s="33">
        <v>41887807</v>
      </c>
      <c r="N1818" s="30">
        <v>46188</v>
      </c>
      <c r="O1818" s="33" t="s">
        <v>4188</v>
      </c>
      <c r="P1818" s="33" t="s">
        <v>4189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>
      <c r="A1819" s="30">
        <v>46191</v>
      </c>
      <c r="B1819" s="30">
        <v>46197</v>
      </c>
      <c r="C1819" s="31">
        <v>81521331</v>
      </c>
      <c r="D1819" s="30" t="str">
        <f>IFERROR(VLOOKUP(Tabela5[[#This Row],[PREFIXO ]],Tabela4[#All],2,0),"CENTRO DE CUSTO")</f>
        <v>PLANT GRÃOS N.HOLLAND PL7000 60 LINHAS</v>
      </c>
      <c r="E1819" s="33" t="s">
        <v>311</v>
      </c>
      <c r="F1819" s="31">
        <v>774</v>
      </c>
      <c r="G1819" s="32">
        <v>5031</v>
      </c>
      <c r="H1819" s="32"/>
      <c r="I1819" s="32">
        <f t="shared" si="29"/>
        <v>5031</v>
      </c>
      <c r="J1819" s="18" t="s">
        <v>1196</v>
      </c>
      <c r="K1819" s="33"/>
      <c r="L1819" s="33" t="s">
        <v>4193</v>
      </c>
      <c r="M1819" s="33" t="s">
        <v>4194</v>
      </c>
      <c r="N1819" s="30">
        <v>46199</v>
      </c>
      <c r="O1819" s="33" t="s">
        <v>2882</v>
      </c>
      <c r="P1819" s="33" t="s">
        <v>4183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>
      <c r="A1820" s="30">
        <v>46182</v>
      </c>
      <c r="B1820" s="30">
        <v>46192</v>
      </c>
      <c r="C1820" s="31" t="s">
        <v>4195</v>
      </c>
      <c r="D1820" s="30" t="str">
        <f>IFERROR(VLOOKUP(Tabela5[[#This Row],[PREFIXO ]],Tabela4[#All],2,0),"CENTRO DE CUSTO")</f>
        <v>CENTRO DE CUSTO</v>
      </c>
      <c r="E1820" s="33" t="s">
        <v>249</v>
      </c>
      <c r="F1820" s="31">
        <v>249</v>
      </c>
      <c r="G1820" s="32">
        <v>12600</v>
      </c>
      <c r="H1820" s="32"/>
      <c r="I1820" s="32">
        <f t="shared" si="29"/>
        <v>12600</v>
      </c>
      <c r="J1820" s="33" t="s">
        <v>1262</v>
      </c>
      <c r="K1820" s="33" t="s">
        <v>4196</v>
      </c>
      <c r="L1820" s="33" t="s">
        <v>4197</v>
      </c>
      <c r="M1820" s="33">
        <v>41892588</v>
      </c>
      <c r="N1820" s="30">
        <v>46195</v>
      </c>
      <c r="O1820" s="33" t="s">
        <v>4198</v>
      </c>
      <c r="P1820" s="33" t="s">
        <v>3594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>
      <c r="A1821" s="30">
        <v>46182</v>
      </c>
      <c r="B1821" s="30">
        <v>46192</v>
      </c>
      <c r="C1821" s="31" t="s">
        <v>4199</v>
      </c>
      <c r="D1821" s="30" t="str">
        <f>IFERROR(VLOOKUP(Tabela5[[#This Row],[PREFIXO ]],Tabela4[#All],2,0),"CENTRO DE CUSTO")</f>
        <v>CENTRO DE CUSTO</v>
      </c>
      <c r="E1821" s="33" t="s">
        <v>249</v>
      </c>
      <c r="F1821" s="31">
        <v>248</v>
      </c>
      <c r="G1821" s="32">
        <v>9800</v>
      </c>
      <c r="H1821" s="32"/>
      <c r="I1821" s="32">
        <f t="shared" si="29"/>
        <v>9800</v>
      </c>
      <c r="J1821" s="33" t="s">
        <v>1196</v>
      </c>
      <c r="K1821" s="33" t="s">
        <v>4200</v>
      </c>
      <c r="L1821" s="33" t="s">
        <v>4201</v>
      </c>
      <c r="M1821" s="33">
        <v>41891937</v>
      </c>
      <c r="N1821" s="30">
        <v>46192</v>
      </c>
      <c r="O1821" s="33" t="s">
        <v>2416</v>
      </c>
      <c r="P1821" s="33" t="s">
        <v>3873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>
      <c r="A1822" s="30">
        <v>46191</v>
      </c>
      <c r="B1822" s="30">
        <v>46197</v>
      </c>
      <c r="C1822" s="31">
        <v>81521294</v>
      </c>
      <c r="D1822" s="30" t="str">
        <f>IFERROR(VLOOKUP(Tabela5[[#This Row],[PREFIXO ]],Tabela4[#All],2,0),"CENTRO DE CUSTO")</f>
        <v>PLANT GRÃOS N.HOLLAND PL7000 60 LINHAS</v>
      </c>
      <c r="E1822" s="33" t="s">
        <v>311</v>
      </c>
      <c r="F1822" s="31">
        <v>764</v>
      </c>
      <c r="G1822" s="32">
        <v>5661</v>
      </c>
      <c r="H1822" s="32"/>
      <c r="I1822" s="32">
        <f t="shared" si="29"/>
        <v>5661</v>
      </c>
      <c r="J1822" s="33" t="s">
        <v>1196</v>
      </c>
      <c r="K1822" s="33"/>
      <c r="L1822" s="33" t="s">
        <v>4193</v>
      </c>
      <c r="M1822" s="33" t="s">
        <v>4194</v>
      </c>
      <c r="N1822" s="30">
        <v>46199</v>
      </c>
      <c r="O1822" s="33" t="s">
        <v>2882</v>
      </c>
      <c r="P1822" s="33" t="s">
        <v>4183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>
      <c r="A1823" s="30">
        <v>46191</v>
      </c>
      <c r="B1823" s="30">
        <v>46197</v>
      </c>
      <c r="C1823" s="31">
        <v>85048097</v>
      </c>
      <c r="D1823" s="30" t="str">
        <f>IFERROR(VLOOKUP(Tabela5[[#This Row],[PREFIXO ]],Tabela4[#All],2,0),"CENTRO DE CUSTO")</f>
        <v>CENTRO DE CUSTO</v>
      </c>
      <c r="E1823" s="33" t="s">
        <v>311</v>
      </c>
      <c r="F1823" s="31">
        <v>766</v>
      </c>
      <c r="G1823" s="32">
        <v>3960</v>
      </c>
      <c r="H1823" s="32"/>
      <c r="I1823" s="32">
        <f t="shared" si="29"/>
        <v>3960</v>
      </c>
      <c r="J1823" s="33" t="s">
        <v>1196</v>
      </c>
      <c r="K1823" s="33"/>
      <c r="L1823" s="33" t="s">
        <v>4193</v>
      </c>
      <c r="M1823" s="33" t="s">
        <v>4194</v>
      </c>
      <c r="N1823" s="30">
        <v>46199</v>
      </c>
      <c r="O1823" s="33" t="s">
        <v>2882</v>
      </c>
      <c r="P1823" s="33" t="s">
        <v>4183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>
      <c r="A1824" s="30">
        <v>46182</v>
      </c>
      <c r="B1824" s="30">
        <v>46192</v>
      </c>
      <c r="C1824" s="31">
        <v>51521103</v>
      </c>
      <c r="D1824" s="30" t="str">
        <f>IFERROR(VLOOKUP(Tabela5[[#This Row],[PREFIXO ]],Tabela4[#All],2,0),"CENTRO DE CUSTO")</f>
        <v>COLHEIT DE GRÃOS N.HOLLAND CR 8.90</v>
      </c>
      <c r="E1824" s="33" t="s">
        <v>346</v>
      </c>
      <c r="F1824" s="31" t="s">
        <v>2487</v>
      </c>
      <c r="G1824" s="32">
        <v>16289</v>
      </c>
      <c r="H1824" s="32"/>
      <c r="I1824" s="32">
        <f t="shared" si="29"/>
        <v>16289</v>
      </c>
      <c r="J1824" s="33" t="s">
        <v>1110</v>
      </c>
      <c r="K1824" s="33" t="s">
        <v>4202</v>
      </c>
      <c r="L1824" s="33" t="s">
        <v>4203</v>
      </c>
      <c r="M1824" s="33">
        <v>41891960</v>
      </c>
      <c r="N1824" s="30">
        <v>46192</v>
      </c>
      <c r="O1824" s="33" t="s">
        <v>1331</v>
      </c>
      <c r="P1824" s="33" t="s">
        <v>3594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>
      <c r="A1825" s="30">
        <v>46182</v>
      </c>
      <c r="B1825" s="30">
        <v>46190</v>
      </c>
      <c r="C1825" s="31">
        <v>11521032</v>
      </c>
      <c r="D1825" s="30" t="str">
        <f>IFERROR(VLOOKUP(Tabela5[[#This Row],[PREFIXO ]],Tabela4[#All],2,0),"CENTRO DE CUSTO")</f>
        <v>TRAT PN EXT PES FENDT 1046 VARIO</v>
      </c>
      <c r="E1825" s="33" t="s">
        <v>259</v>
      </c>
      <c r="F1825" s="31">
        <v>63230106</v>
      </c>
      <c r="G1825" s="32">
        <v>50.14</v>
      </c>
      <c r="H1825" s="32">
        <v>8723.39</v>
      </c>
      <c r="I1825" s="32">
        <f t="shared" si="29"/>
        <v>8773.5299999999988</v>
      </c>
      <c r="J1825" s="33" t="s">
        <v>1196</v>
      </c>
      <c r="K1825" s="33" t="s">
        <v>4204</v>
      </c>
      <c r="L1825" s="33" t="s">
        <v>4205</v>
      </c>
      <c r="M1825" s="33">
        <v>41890746</v>
      </c>
      <c r="N1825" s="30">
        <v>46191</v>
      </c>
      <c r="O1825" s="33" t="s">
        <v>4206</v>
      </c>
      <c r="P1825" s="33" t="s">
        <v>4207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>
      <c r="A1826" s="30">
        <v>46182</v>
      </c>
      <c r="B1826" s="30">
        <v>46191</v>
      </c>
      <c r="C1826" s="31" t="s">
        <v>4208</v>
      </c>
      <c r="D1826" s="30" t="str">
        <f>IFERROR(VLOOKUP(Tabela5[[#This Row],[PREFIXO ]],Tabela4[#All],2,0),"CENTRO DE CUSTO")</f>
        <v>CENTRO DE CUSTO</v>
      </c>
      <c r="E1826" s="33" t="s">
        <v>323</v>
      </c>
      <c r="F1826" s="31" t="s">
        <v>4209</v>
      </c>
      <c r="G1826" s="32">
        <v>17085</v>
      </c>
      <c r="H1826" s="32"/>
      <c r="I1826" s="32">
        <f t="shared" si="29"/>
        <v>17085</v>
      </c>
      <c r="J1826" s="33" t="s">
        <v>1262</v>
      </c>
      <c r="K1826" s="33" t="s">
        <v>4210</v>
      </c>
      <c r="L1826" s="33" t="s">
        <v>4211</v>
      </c>
      <c r="M1826" s="33">
        <v>41890874</v>
      </c>
      <c r="N1826" s="30">
        <v>46191</v>
      </c>
      <c r="O1826" s="33" t="s">
        <v>1333</v>
      </c>
      <c r="P1826" s="33" t="s">
        <v>3873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>
      <c r="A1827" s="30">
        <v>46182</v>
      </c>
      <c r="B1827" s="30">
        <v>46184</v>
      </c>
      <c r="C1827" s="31">
        <v>61521028</v>
      </c>
      <c r="D1827" s="30" t="str">
        <f>IFERROR(VLOOKUP(Tabela5[[#This Row],[PREFIXO ]],Tabela4[#All],2,0),"CENTRO DE CUSTO")</f>
        <v>CENTRO DE CUSTO</v>
      </c>
      <c r="E1827" s="33" t="s">
        <v>247</v>
      </c>
      <c r="F1827" s="31">
        <v>136156</v>
      </c>
      <c r="G1827" s="32">
        <v>1330</v>
      </c>
      <c r="H1827" s="32">
        <v>905.86</v>
      </c>
      <c r="I1827" s="32">
        <f t="shared" si="29"/>
        <v>2235.86</v>
      </c>
      <c r="J1827" s="33" t="s">
        <v>1262</v>
      </c>
      <c r="K1827" s="33" t="s">
        <v>4212</v>
      </c>
      <c r="L1827" s="33" t="s">
        <v>4213</v>
      </c>
      <c r="M1827" s="33" t="s">
        <v>4214</v>
      </c>
      <c r="N1827" s="30">
        <v>46185</v>
      </c>
      <c r="O1827" s="33" t="s">
        <v>4215</v>
      </c>
      <c r="P1827" s="33" t="s">
        <v>4216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>
      <c r="A1828" s="30">
        <v>46182</v>
      </c>
      <c r="B1828" s="30">
        <v>46191</v>
      </c>
      <c r="C1828" s="31" t="s">
        <v>4217</v>
      </c>
      <c r="D1828" s="30" t="str">
        <f>IFERROR(VLOOKUP(Tabela5[[#This Row],[PREFIXO ]],Tabela4[#All],2,0),"CENTRO DE CUSTO")</f>
        <v>CENTRO DE CUSTO</v>
      </c>
      <c r="E1828" s="33" t="s">
        <v>66</v>
      </c>
      <c r="F1828" s="31">
        <v>9871</v>
      </c>
      <c r="G1828" s="32">
        <v>52500</v>
      </c>
      <c r="H1828" s="32"/>
      <c r="I1828" s="32">
        <f t="shared" si="29"/>
        <v>52500</v>
      </c>
      <c r="J1828" s="33" t="s">
        <v>1262</v>
      </c>
      <c r="K1828" s="33" t="s">
        <v>4218</v>
      </c>
      <c r="L1828" s="33" t="s">
        <v>4219</v>
      </c>
      <c r="M1828" s="33">
        <v>41890898</v>
      </c>
      <c r="N1828" s="30">
        <v>46191</v>
      </c>
      <c r="O1828" s="33" t="s">
        <v>4220</v>
      </c>
      <c r="P1828" s="33" t="s">
        <v>3759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>
      <c r="A1829" s="30">
        <v>46191</v>
      </c>
      <c r="B1829" s="30">
        <v>46197</v>
      </c>
      <c r="C1829" s="31">
        <v>8173160</v>
      </c>
      <c r="D1829" s="30" t="str">
        <f>IFERROR(VLOOKUP(Tabela5[[#This Row],[PREFIXO ]],Tabela4[#All],2,0),"CENTRO DE CUSTO")</f>
        <v>CENTRO DE CUSTO</v>
      </c>
      <c r="E1829" s="33" t="s">
        <v>311</v>
      </c>
      <c r="F1829" s="31">
        <v>790</v>
      </c>
      <c r="G1829" s="32">
        <v>4383</v>
      </c>
      <c r="H1829" s="32"/>
      <c r="I1829" s="32">
        <f t="shared" si="29"/>
        <v>4383</v>
      </c>
      <c r="J1829" s="33" t="s">
        <v>1196</v>
      </c>
      <c r="K1829" s="33"/>
      <c r="L1829" s="33" t="s">
        <v>4193</v>
      </c>
      <c r="M1829" s="33" t="s">
        <v>4194</v>
      </c>
      <c r="N1829" s="30">
        <v>46199</v>
      </c>
      <c r="O1829" s="33" t="s">
        <v>2882</v>
      </c>
      <c r="P1829" s="33" t="s">
        <v>4183</v>
      </c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CONCLUÍDO</v>
      </c>
      <c r="R1829" s="33"/>
    </row>
    <row r="1830" spans="1:18">
      <c r="A1830" s="30">
        <v>46182</v>
      </c>
      <c r="B1830" s="30">
        <v>46184</v>
      </c>
      <c r="C1830" s="31">
        <v>61521042</v>
      </c>
      <c r="D1830" s="30" t="str">
        <f>IFERROR(VLOOKUP(Tabela5[[#This Row],[PREFIXO ]],Tabela4[#All],2,0),"CENTRO DE CUSTO")</f>
        <v>ONIB RODOVIÁRIO MASCARELLO GRAN MIDI</v>
      </c>
      <c r="E1830" s="33" t="s">
        <v>121</v>
      </c>
      <c r="F1830" s="31">
        <v>88</v>
      </c>
      <c r="G1830" s="32">
        <v>9101.2900000000009</v>
      </c>
      <c r="H1830" s="32"/>
      <c r="I1830" s="32">
        <f t="shared" si="29"/>
        <v>9101.2900000000009</v>
      </c>
      <c r="J1830" s="33" t="s">
        <v>1196</v>
      </c>
      <c r="K1830" s="33" t="s">
        <v>4221</v>
      </c>
      <c r="L1830" s="33" t="s">
        <v>4222</v>
      </c>
      <c r="M1830" s="33">
        <v>41886544</v>
      </c>
      <c r="N1830" s="30">
        <v>46185</v>
      </c>
      <c r="O1830" s="33" t="s">
        <v>2472</v>
      </c>
      <c r="P1830" s="33" t="s">
        <v>3281</v>
      </c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CONCLUÍDO</v>
      </c>
      <c r="R1830" s="33"/>
    </row>
    <row r="1831" spans="1:18">
      <c r="A1831" s="30">
        <v>46182</v>
      </c>
      <c r="B1831" s="30">
        <v>46185</v>
      </c>
      <c r="C1831" s="31">
        <v>615210008</v>
      </c>
      <c r="D1831" s="30" t="str">
        <f>IFERROR(VLOOKUP(Tabela5[[#This Row],[PREFIXO ]],Tabela4[#All],2,0),"CENTRO DE CUSTO")</f>
        <v>CENTRO DE CUSTO</v>
      </c>
      <c r="E1831" s="33" t="s">
        <v>121</v>
      </c>
      <c r="F1831" s="31">
        <v>87</v>
      </c>
      <c r="G1831" s="32">
        <v>4825.54</v>
      </c>
      <c r="H1831" s="32"/>
      <c r="I1831" s="32">
        <f t="shared" si="29"/>
        <v>4825.54</v>
      </c>
      <c r="J1831" s="33" t="s">
        <v>1196</v>
      </c>
      <c r="K1831" s="33" t="s">
        <v>4223</v>
      </c>
      <c r="L1831" s="33" t="s">
        <v>4224</v>
      </c>
      <c r="M1831" s="33">
        <v>41886545</v>
      </c>
      <c r="N1831" s="30">
        <v>46185</v>
      </c>
      <c r="O1831" s="33" t="s">
        <v>2497</v>
      </c>
      <c r="P1831" s="33" t="s">
        <v>3281</v>
      </c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CONCLUÍDO</v>
      </c>
      <c r="R1831" s="33"/>
    </row>
    <row r="1832" spans="1:18">
      <c r="A1832" s="30">
        <v>46182</v>
      </c>
      <c r="B1832" s="30">
        <v>46185</v>
      </c>
      <c r="C1832" s="31">
        <v>6173059</v>
      </c>
      <c r="D1832" s="30" t="str">
        <f>IFERROR(VLOOKUP(Tabela5[[#This Row],[PREFIXO ]],Tabela4[#All],2,0),"CENTRO DE CUSTO")</f>
        <v>CAM CARGA SECA FORD F-4000</v>
      </c>
      <c r="E1832" s="33" t="s">
        <v>227</v>
      </c>
      <c r="F1832" s="31" t="s">
        <v>4225</v>
      </c>
      <c r="G1832" s="32">
        <v>685</v>
      </c>
      <c r="H1832" s="32">
        <v>4348.95</v>
      </c>
      <c r="I1832" s="32">
        <f t="shared" si="29"/>
        <v>5033.95</v>
      </c>
      <c r="J1832" s="33" t="s">
        <v>1196</v>
      </c>
      <c r="K1832" s="33" t="s">
        <v>4226</v>
      </c>
      <c r="L1832" s="33" t="s">
        <v>4227</v>
      </c>
      <c r="M1832" s="33" t="s">
        <v>4228</v>
      </c>
      <c r="N1832" s="30">
        <v>46189</v>
      </c>
      <c r="O1832" s="33" t="s">
        <v>4229</v>
      </c>
      <c r="P1832" s="33" t="s">
        <v>4230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>
      <c r="A1833" s="30">
        <v>46182</v>
      </c>
      <c r="B1833" s="30">
        <v>46190</v>
      </c>
      <c r="C1833" s="31">
        <v>15048014</v>
      </c>
      <c r="D1833" s="30" t="str">
        <f>IFERROR(VLOOKUP(Tabela5[[#This Row],[PREFIXO ]],Tabela4[#All],2,0),"CENTRO DE CUSTO")</f>
        <v>CENTRO DE CUSTO</v>
      </c>
      <c r="E1833" s="33" t="s">
        <v>259</v>
      </c>
      <c r="F1833" s="31">
        <v>63278646</v>
      </c>
      <c r="G1833" s="32">
        <v>44</v>
      </c>
      <c r="H1833" s="32">
        <v>13034.52</v>
      </c>
      <c r="I1833" s="32">
        <f t="shared" si="29"/>
        <v>13078.52</v>
      </c>
      <c r="J1833" s="33" t="s">
        <v>1196</v>
      </c>
      <c r="K1833" s="33" t="s">
        <v>4231</v>
      </c>
      <c r="L1833" s="33" t="s">
        <v>4232</v>
      </c>
      <c r="M1833" s="33">
        <v>41890754</v>
      </c>
      <c r="N1833" s="30">
        <v>46191</v>
      </c>
      <c r="O1833" s="33" t="s">
        <v>4233</v>
      </c>
      <c r="P1833" s="33" t="s">
        <v>4207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>
      <c r="A1834" s="30">
        <v>46191</v>
      </c>
      <c r="B1834" s="30">
        <v>46197</v>
      </c>
      <c r="C1834" s="31">
        <v>8173169</v>
      </c>
      <c r="D1834" s="30" t="str">
        <f>IFERROR(VLOOKUP(Tabela5[[#This Row],[PREFIXO ]],Tabela4[#All],2,0),"CENTRO DE CUSTO")</f>
        <v>PLANT GRÃOS JOHN DEERE 9200 PI 12 LINHAS</v>
      </c>
      <c r="E1834" s="33" t="s">
        <v>311</v>
      </c>
      <c r="F1834" s="31">
        <v>789</v>
      </c>
      <c r="G1834" s="32">
        <v>4095</v>
      </c>
      <c r="H1834" s="32"/>
      <c r="I1834" s="32">
        <f t="shared" si="29"/>
        <v>4095</v>
      </c>
      <c r="J1834" s="33" t="s">
        <v>1196</v>
      </c>
      <c r="K1834" s="33"/>
      <c r="L1834" s="33" t="s">
        <v>4193</v>
      </c>
      <c r="M1834" s="33" t="s">
        <v>4194</v>
      </c>
      <c r="N1834" s="30">
        <v>46199</v>
      </c>
      <c r="O1834" s="33" t="s">
        <v>2882</v>
      </c>
      <c r="P1834" s="33" t="s">
        <v>4183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>
      <c r="A1835" s="30">
        <v>46191</v>
      </c>
      <c r="B1835" s="30">
        <v>46197</v>
      </c>
      <c r="C1835" s="31">
        <v>81519219</v>
      </c>
      <c r="D1835" s="30" t="str">
        <f>IFERROR(VLOOKUP(Tabela5[[#This Row],[PREFIXO ]],Tabela4[#All],2,0),"CENTRO DE CUSTO")</f>
        <v>PLANT GRÃOS JOHN DEERE DB90 ME 60 LINHAS</v>
      </c>
      <c r="E1835" s="33" t="s">
        <v>311</v>
      </c>
      <c r="F1835" s="31">
        <v>770</v>
      </c>
      <c r="G1835" s="32">
        <v>4150</v>
      </c>
      <c r="H1835" s="32"/>
      <c r="I1835" s="32">
        <f t="shared" si="29"/>
        <v>4150</v>
      </c>
      <c r="J1835" s="33" t="s">
        <v>1196</v>
      </c>
      <c r="K1835" s="33"/>
      <c r="L1835" s="33" t="s">
        <v>4234</v>
      </c>
      <c r="M1835" s="33" t="s">
        <v>4235</v>
      </c>
      <c r="N1835" s="30">
        <v>46199</v>
      </c>
      <c r="O1835" s="33" t="s">
        <v>2878</v>
      </c>
      <c r="P1835" s="33" t="s">
        <v>4183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>
      <c r="A1836" s="30">
        <v>46184</v>
      </c>
      <c r="B1836" s="30">
        <v>46192</v>
      </c>
      <c r="C1836" s="31">
        <v>51519062</v>
      </c>
      <c r="D1836" s="30" t="str">
        <f>IFERROR(VLOOKUP(Tabela5[[#This Row],[PREFIXO ]],Tabela4[#All],2,0),"CENTRO DE CUSTO")</f>
        <v>CENTRO DE CUSTO</v>
      </c>
      <c r="E1836" s="33" t="s">
        <v>17</v>
      </c>
      <c r="F1836" s="31">
        <v>44366</v>
      </c>
      <c r="G1836" s="32">
        <v>2424.2600000000002</v>
      </c>
      <c r="H1836" s="32"/>
      <c r="I1836" s="32">
        <f t="shared" si="29"/>
        <v>2424.2600000000002</v>
      </c>
      <c r="J1836" s="18" t="s">
        <v>1120</v>
      </c>
      <c r="K1836" s="33" t="s">
        <v>4236</v>
      </c>
      <c r="L1836" s="33" t="s">
        <v>4237</v>
      </c>
      <c r="M1836" s="33">
        <v>41890917</v>
      </c>
      <c r="N1836" s="30">
        <v>46191</v>
      </c>
      <c r="O1836" s="33" t="s">
        <v>4238</v>
      </c>
      <c r="P1836" s="33" t="s">
        <v>4239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>
      <c r="A1837" s="30">
        <v>46191</v>
      </c>
      <c r="B1837" s="30">
        <v>46197</v>
      </c>
      <c r="C1837" s="31">
        <v>81521316</v>
      </c>
      <c r="D1837" s="30" t="str">
        <f>IFERROR(VLOOKUP(Tabela5[[#This Row],[PREFIXO ]],Tabela4[#All],2,0),"CENTRO DE CUSTO")</f>
        <v>PLANT GRÃOS JOHN DEERE DB90 ME 60 LINHAS</v>
      </c>
      <c r="E1837" s="33" t="s">
        <v>311</v>
      </c>
      <c r="F1837" s="31">
        <v>771</v>
      </c>
      <c r="G1837" s="32">
        <v>3600</v>
      </c>
      <c r="H1837" s="32"/>
      <c r="I1837" s="32">
        <f t="shared" si="29"/>
        <v>3600</v>
      </c>
      <c r="J1837" s="18" t="s">
        <v>1196</v>
      </c>
      <c r="K1837" s="33"/>
      <c r="L1837" s="33" t="s">
        <v>4234</v>
      </c>
      <c r="M1837" s="33" t="s">
        <v>4235</v>
      </c>
      <c r="N1837" s="30">
        <v>46199</v>
      </c>
      <c r="O1837" s="33" t="s">
        <v>2878</v>
      </c>
      <c r="P1837" s="33" t="s">
        <v>4183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>
      <c r="A1838" s="30">
        <v>46184</v>
      </c>
      <c r="B1838" s="30">
        <v>46192</v>
      </c>
      <c r="C1838" s="31">
        <v>51519061</v>
      </c>
      <c r="D1838" s="30" t="str">
        <f>IFERROR(VLOOKUP(Tabela5[[#This Row],[PREFIXO ]],Tabela4[#All],2,0),"CENTRO DE CUSTO")</f>
        <v>CENTRO DE CUSTO</v>
      </c>
      <c r="E1838" s="33" t="s">
        <v>17</v>
      </c>
      <c r="F1838" s="31">
        <v>44367</v>
      </c>
      <c r="G1838" s="32">
        <v>2254.61</v>
      </c>
      <c r="H1838" s="32"/>
      <c r="I1838" s="32">
        <f t="shared" si="29"/>
        <v>2254.61</v>
      </c>
      <c r="J1838" s="18" t="s">
        <v>1120</v>
      </c>
      <c r="K1838" s="33" t="s">
        <v>4240</v>
      </c>
      <c r="L1838" s="33" t="s">
        <v>4237</v>
      </c>
      <c r="M1838" s="33">
        <v>41890917</v>
      </c>
      <c r="N1838" s="30">
        <v>46191</v>
      </c>
      <c r="O1838" s="33" t="s">
        <v>4238</v>
      </c>
      <c r="P1838" s="33" t="s">
        <v>4239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>
      <c r="A1839" s="30">
        <v>46191</v>
      </c>
      <c r="B1839" s="30">
        <v>46197</v>
      </c>
      <c r="C1839" s="31">
        <v>17320836</v>
      </c>
      <c r="D1839" s="30" t="str">
        <f>IFERROR(VLOOKUP(Tabela5[[#This Row],[PREFIXO ]],Tabela4[#All],2,0),"CENTRO DE CUSTO")</f>
        <v>PLANTADEIRA CASE IH FAST RISER 6100</v>
      </c>
      <c r="E1839" s="33" t="s">
        <v>311</v>
      </c>
      <c r="F1839" s="31">
        <v>781</v>
      </c>
      <c r="G1839" s="32">
        <v>4750</v>
      </c>
      <c r="H1839" s="32"/>
      <c r="I1839" s="32">
        <f t="shared" si="29"/>
        <v>4750</v>
      </c>
      <c r="J1839" s="18" t="s">
        <v>1196</v>
      </c>
      <c r="K1839" s="33"/>
      <c r="L1839" s="33" t="s">
        <v>4234</v>
      </c>
      <c r="M1839" s="33" t="s">
        <v>4235</v>
      </c>
      <c r="N1839" s="30">
        <v>46199</v>
      </c>
      <c r="O1839" s="33" t="s">
        <v>2878</v>
      </c>
      <c r="P1839" s="33" t="s">
        <v>4183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>
      <c r="A1840" s="30">
        <v>46191</v>
      </c>
      <c r="B1840" s="30">
        <v>46197</v>
      </c>
      <c r="C1840" s="31">
        <v>81522081</v>
      </c>
      <c r="D1840" s="30" t="str">
        <f>IFERROR(VLOOKUP(Tabela5[[#This Row],[PREFIXO ]],Tabela4[#All],2,0),"CENTRO DE CUSTO")</f>
        <v>PLANT GRÃOS JOHN DEERE 2100 DF 30 LINHAS</v>
      </c>
      <c r="E1840" s="33" t="s">
        <v>311</v>
      </c>
      <c r="F1840" s="31">
        <v>792</v>
      </c>
      <c r="G1840" s="32">
        <v>4370</v>
      </c>
      <c r="H1840" s="32"/>
      <c r="I1840" s="32">
        <f t="shared" si="29"/>
        <v>4370</v>
      </c>
      <c r="J1840" s="33" t="s">
        <v>1196</v>
      </c>
      <c r="K1840" s="33"/>
      <c r="L1840" s="33" t="s">
        <v>4234</v>
      </c>
      <c r="M1840" s="33" t="s">
        <v>4235</v>
      </c>
      <c r="N1840" s="30">
        <v>46199</v>
      </c>
      <c r="O1840" s="33" t="s">
        <v>2878</v>
      </c>
      <c r="P1840" s="33" t="s">
        <v>4183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>
      <c r="A1841" s="30">
        <v>46191</v>
      </c>
      <c r="B1841" s="30">
        <v>46197</v>
      </c>
      <c r="C1841" s="31">
        <v>81521315</v>
      </c>
      <c r="D1841" s="30" t="str">
        <f>IFERROR(VLOOKUP(Tabela5[[#This Row],[PREFIXO ]],Tabela4[#All],2,0),"CENTRO DE CUSTO")</f>
        <v>PLANT GRÃOS JOHN DEERE DB90 ME 60 LINHAS</v>
      </c>
      <c r="E1841" s="33" t="s">
        <v>311</v>
      </c>
      <c r="F1841" s="31">
        <v>767</v>
      </c>
      <c r="G1841" s="32">
        <v>3990</v>
      </c>
      <c r="H1841" s="32"/>
      <c r="I1841" s="32">
        <f t="shared" si="29"/>
        <v>3990</v>
      </c>
      <c r="J1841" s="33" t="s">
        <v>1196</v>
      </c>
      <c r="K1841" s="33"/>
      <c r="L1841" s="33" t="s">
        <v>4234</v>
      </c>
      <c r="M1841" s="33" t="s">
        <v>4235</v>
      </c>
      <c r="N1841" s="30">
        <v>46199</v>
      </c>
      <c r="O1841" s="33" t="s">
        <v>2878</v>
      </c>
      <c r="P1841" s="33" t="s">
        <v>4183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>
      <c r="A1842" s="30">
        <v>46191</v>
      </c>
      <c r="B1842" s="30">
        <v>46197</v>
      </c>
      <c r="C1842" s="31">
        <v>81520086</v>
      </c>
      <c r="D1842" s="30" t="str">
        <f>IFERROR(VLOOKUP(Tabela5[[#This Row],[PREFIXO ]],Tabela4[#All],2,0),"CENTRO DE CUSTO")</f>
        <v>PLANT GRÃOS JOHN DEERE 2100 DF 15 LINHAS</v>
      </c>
      <c r="E1842" s="33" t="s">
        <v>311</v>
      </c>
      <c r="F1842" s="31">
        <v>785</v>
      </c>
      <c r="G1842" s="32">
        <v>4626</v>
      </c>
      <c r="H1842" s="32"/>
      <c r="I1842" s="32">
        <f t="shared" si="29"/>
        <v>4626</v>
      </c>
      <c r="J1842" s="33" t="s">
        <v>1196</v>
      </c>
      <c r="K1842" s="33"/>
      <c r="L1842" s="33" t="s">
        <v>4234</v>
      </c>
      <c r="M1842" s="33" t="s">
        <v>4235</v>
      </c>
      <c r="N1842" s="30">
        <v>46199</v>
      </c>
      <c r="O1842" s="33" t="s">
        <v>2878</v>
      </c>
      <c r="P1842" s="33" t="s">
        <v>4183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>
      <c r="A1843" s="30">
        <v>46191</v>
      </c>
      <c r="B1843" s="30">
        <v>46197</v>
      </c>
      <c r="C1843" s="31">
        <v>81521335</v>
      </c>
      <c r="D1843" s="30" t="str">
        <f>IFERROR(VLOOKUP(Tabela5[[#This Row],[PREFIXO ]],Tabela4[#All],2,0),"CENTRO DE CUSTO")</f>
        <v>PLANT GRÃOS N.HOLLAND PL7000 60 LINHAS</v>
      </c>
      <c r="E1843" s="33" t="s">
        <v>311</v>
      </c>
      <c r="F1843" s="31">
        <v>769</v>
      </c>
      <c r="G1843" s="32">
        <v>8100</v>
      </c>
      <c r="H1843" s="32"/>
      <c r="I1843" s="32">
        <f t="shared" si="29"/>
        <v>8100</v>
      </c>
      <c r="J1843" s="33" t="s">
        <v>1196</v>
      </c>
      <c r="K1843" s="33"/>
      <c r="L1843" s="33" t="s">
        <v>4241</v>
      </c>
      <c r="M1843" s="33">
        <v>41897199</v>
      </c>
      <c r="N1843" s="30">
        <v>46199</v>
      </c>
      <c r="O1843" s="33" t="s">
        <v>1452</v>
      </c>
      <c r="P1843" s="33" t="s">
        <v>4183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>
      <c r="A1844" s="30">
        <v>46191</v>
      </c>
      <c r="B1844" s="30">
        <v>46197</v>
      </c>
      <c r="C1844" s="31">
        <v>81520164</v>
      </c>
      <c r="D1844" s="30" t="str">
        <f>IFERROR(VLOOKUP(Tabela5[[#This Row],[PREFIXO ]],Tabela4[#All],2,0),"CENTRO DE CUSTO")</f>
        <v>PLANTADEIRA JD 2130 15 LINHAS</v>
      </c>
      <c r="E1844" s="33" t="s">
        <v>311</v>
      </c>
      <c r="F1844" s="31">
        <v>786</v>
      </c>
      <c r="G1844" s="32">
        <v>3940</v>
      </c>
      <c r="H1844" s="32"/>
      <c r="I1844" s="32">
        <f t="shared" si="29"/>
        <v>3940</v>
      </c>
      <c r="J1844" s="33" t="s">
        <v>1196</v>
      </c>
      <c r="K1844" s="33"/>
      <c r="L1844" s="33" t="s">
        <v>4241</v>
      </c>
      <c r="M1844" s="33">
        <v>41897199</v>
      </c>
      <c r="N1844" s="30">
        <v>46199</v>
      </c>
      <c r="O1844" s="33" t="s">
        <v>1452</v>
      </c>
      <c r="P1844" s="33" t="s">
        <v>4183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>
      <c r="A1845" s="30">
        <v>46191</v>
      </c>
      <c r="B1845" s="30">
        <v>46197</v>
      </c>
      <c r="C1845" s="31">
        <v>8181027</v>
      </c>
      <c r="D1845" s="30" t="str">
        <f>IFERROR(VLOOKUP(Tabela5[[#This Row],[PREFIXO ]],Tabela4[#All],2,0),"CENTRO DE CUSTO")</f>
        <v>PLANT GRÃOS JOHN DEERE 9200 PI 12 LINHAS</v>
      </c>
      <c r="E1845" s="33" t="s">
        <v>311</v>
      </c>
      <c r="F1845" s="31">
        <v>788</v>
      </c>
      <c r="G1845" s="32">
        <v>3940</v>
      </c>
      <c r="H1845" s="32"/>
      <c r="I1845" s="32">
        <f t="shared" si="29"/>
        <v>3940</v>
      </c>
      <c r="J1845" s="33" t="s">
        <v>1196</v>
      </c>
      <c r="K1845" s="33"/>
      <c r="L1845" s="33" t="s">
        <v>4241</v>
      </c>
      <c r="M1845" s="33">
        <v>41897199</v>
      </c>
      <c r="N1845" s="30">
        <v>46199</v>
      </c>
      <c r="O1845" s="33" t="s">
        <v>1452</v>
      </c>
      <c r="P1845" s="33" t="s">
        <v>4183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>
      <c r="A1846" s="30">
        <v>46191</v>
      </c>
      <c r="B1846" s="30">
        <v>46197</v>
      </c>
      <c r="C1846" s="31">
        <v>81521317</v>
      </c>
      <c r="D1846" s="30" t="str">
        <f>IFERROR(VLOOKUP(Tabela5[[#This Row],[PREFIXO ]],Tabela4[#All],2,0),"CENTRO DE CUSTO")</f>
        <v>PLANT GRÃOS JOHN DEERE DB90 ME 60 LINHAS</v>
      </c>
      <c r="E1846" s="33" t="s">
        <v>311</v>
      </c>
      <c r="F1846" s="31">
        <v>772</v>
      </c>
      <c r="G1846" s="32">
        <v>3820</v>
      </c>
      <c r="H1846" s="32"/>
      <c r="I1846" s="32">
        <f t="shared" si="29"/>
        <v>3820</v>
      </c>
      <c r="J1846" s="18" t="s">
        <v>1196</v>
      </c>
      <c r="K1846" s="33"/>
      <c r="L1846" s="33" t="s">
        <v>4241</v>
      </c>
      <c r="M1846" s="33">
        <v>41897199</v>
      </c>
      <c r="N1846" s="30">
        <v>46199</v>
      </c>
      <c r="O1846" s="33" t="s">
        <v>1452</v>
      </c>
      <c r="P1846" s="33" t="s">
        <v>4183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>
      <c r="A1847" s="30">
        <v>46184</v>
      </c>
      <c r="B1847" s="30">
        <v>46192</v>
      </c>
      <c r="C1847" s="31">
        <v>61521040</v>
      </c>
      <c r="D1847" s="30" t="str">
        <f>IFERROR(VLOOKUP(Tabela5[[#This Row],[PREFIXO ]],Tabela4[#All],2,0),"CENTRO DE CUSTO")</f>
        <v>CAM COMBOIO FORD F-4000</v>
      </c>
      <c r="E1847" s="33" t="s">
        <v>29</v>
      </c>
      <c r="F1847" s="31">
        <v>55859</v>
      </c>
      <c r="G1847" s="32">
        <v>120</v>
      </c>
      <c r="H1847" s="32">
        <v>1551</v>
      </c>
      <c r="I1847" s="32">
        <f t="shared" si="29"/>
        <v>1671</v>
      </c>
      <c r="J1847" s="33" t="s">
        <v>1196</v>
      </c>
      <c r="K1847" s="33" t="s">
        <v>4242</v>
      </c>
      <c r="L1847" s="33" t="s">
        <v>4243</v>
      </c>
      <c r="M1847" s="33">
        <v>41892909</v>
      </c>
      <c r="N1847" s="30">
        <v>46195</v>
      </c>
      <c r="O1847" s="33" t="s">
        <v>4244</v>
      </c>
      <c r="P1847" s="33" t="s">
        <v>4245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>
      <c r="A1848" s="30">
        <v>46184</v>
      </c>
      <c r="B1848" s="30">
        <v>46192</v>
      </c>
      <c r="C1848" s="31">
        <v>61521008</v>
      </c>
      <c r="D1848" s="30" t="str">
        <f>IFERROR(VLOOKUP(Tabela5[[#This Row],[PREFIXO ]],Tabela4[#All],2,0),"CENTRO DE CUSTO")</f>
        <v>CAV MEC PES MERC BENZ AXOR 2644</v>
      </c>
      <c r="E1848" s="33" t="s">
        <v>29</v>
      </c>
      <c r="F1848" s="31">
        <v>55907</v>
      </c>
      <c r="G1848" s="32">
        <v>610</v>
      </c>
      <c r="H1848" s="32">
        <v>238.76</v>
      </c>
      <c r="I1848" s="32">
        <f t="shared" si="29"/>
        <v>848.76</v>
      </c>
      <c r="J1848" s="33" t="s">
        <v>1196</v>
      </c>
      <c r="K1848" s="33" t="s">
        <v>4246</v>
      </c>
      <c r="L1848" s="33" t="s">
        <v>4247</v>
      </c>
      <c r="M1848" s="33">
        <v>41892869</v>
      </c>
      <c r="N1848" s="30">
        <v>46195</v>
      </c>
      <c r="O1848" s="33" t="s">
        <v>4248</v>
      </c>
      <c r="P1848" s="33" t="s">
        <v>4245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>
      <c r="A1849" s="30">
        <v>46184</v>
      </c>
      <c r="B1849" s="30">
        <v>46192</v>
      </c>
      <c r="C1849" s="31">
        <v>6173059</v>
      </c>
      <c r="D1849" s="30" t="str">
        <f>IFERROR(VLOOKUP(Tabela5[[#This Row],[PREFIXO ]],Tabela4[#All],2,0),"CENTRO DE CUSTO")</f>
        <v>CAM CARGA SECA FORD F-4000</v>
      </c>
      <c r="E1849" s="33" t="s">
        <v>29</v>
      </c>
      <c r="F1849" s="31">
        <v>55911</v>
      </c>
      <c r="G1849" s="32">
        <v>220</v>
      </c>
      <c r="H1849" s="32">
        <v>1865.9</v>
      </c>
      <c r="I1849" s="32">
        <f t="shared" si="29"/>
        <v>2085.9</v>
      </c>
      <c r="J1849" s="33" t="s">
        <v>1196</v>
      </c>
      <c r="K1849" s="33" t="s">
        <v>4249</v>
      </c>
      <c r="L1849" s="33" t="s">
        <v>4250</v>
      </c>
      <c r="M1849" s="33" t="s">
        <v>4251</v>
      </c>
      <c r="N1849" s="30">
        <v>46195</v>
      </c>
      <c r="O1849" s="33" t="s">
        <v>4252</v>
      </c>
      <c r="P1849" s="33" t="s">
        <v>4100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>
      <c r="A1850" s="30">
        <v>46184</v>
      </c>
      <c r="B1850" s="30">
        <v>46192</v>
      </c>
      <c r="C1850" s="31">
        <v>51519060</v>
      </c>
      <c r="D1850" s="30" t="str">
        <f>IFERROR(VLOOKUP(Tabela5[[#This Row],[PREFIXO ]],Tabela4[#All],2,0),"CENTRO DE CUSTO")</f>
        <v>CENTRO DE CUSTO</v>
      </c>
      <c r="E1850" s="33" t="s">
        <v>70</v>
      </c>
      <c r="F1850" s="31">
        <v>23100</v>
      </c>
      <c r="G1850" s="32">
        <v>5225</v>
      </c>
      <c r="H1850" s="32"/>
      <c r="I1850" s="32">
        <f t="shared" si="29"/>
        <v>5225</v>
      </c>
      <c r="J1850" s="18" t="s">
        <v>1120</v>
      </c>
      <c r="K1850" s="33" t="s">
        <v>4253</v>
      </c>
      <c r="L1850" s="33" t="s">
        <v>4254</v>
      </c>
      <c r="M1850" s="33">
        <v>41891941</v>
      </c>
      <c r="N1850" s="30">
        <v>46192</v>
      </c>
      <c r="O1850" s="33" t="s">
        <v>4255</v>
      </c>
      <c r="P1850" s="33" t="s">
        <v>3873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>
      <c r="A1851" s="30">
        <v>46184</v>
      </c>
      <c r="B1851" s="30">
        <v>46192</v>
      </c>
      <c r="C1851" s="31">
        <v>51521071</v>
      </c>
      <c r="D1851" s="30" t="str">
        <f>IFERROR(VLOOKUP(Tabela5[[#This Row],[PREFIXO ]],Tabela4[#All],2,0),"CENTRO DE CUSTO")</f>
        <v>COLHED ALGODÃO JOHN DEERE CP 690</v>
      </c>
      <c r="E1851" s="33" t="s">
        <v>17</v>
      </c>
      <c r="F1851" s="31">
        <v>44121</v>
      </c>
      <c r="G1851" s="32">
        <v>1622.55</v>
      </c>
      <c r="H1851" s="32"/>
      <c r="I1851" s="32">
        <f t="shared" si="29"/>
        <v>1622.55</v>
      </c>
      <c r="J1851" s="18" t="s">
        <v>1120</v>
      </c>
      <c r="K1851" s="33" t="s">
        <v>4256</v>
      </c>
      <c r="L1851" s="33" t="s">
        <v>4237</v>
      </c>
      <c r="M1851" s="33">
        <v>41890917</v>
      </c>
      <c r="N1851" s="30">
        <v>46191</v>
      </c>
      <c r="O1851" s="33" t="s">
        <v>4238</v>
      </c>
      <c r="P1851" s="33" t="s">
        <v>4239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>
      <c r="A1852" s="30">
        <v>46191</v>
      </c>
      <c r="B1852" s="30">
        <v>46197</v>
      </c>
      <c r="C1852" s="31">
        <v>81521295</v>
      </c>
      <c r="D1852" s="30" t="str">
        <f>IFERROR(VLOOKUP(Tabela5[[#This Row],[PREFIXO ]],Tabela4[#All],2,0),"CENTRO DE CUSTO")</f>
        <v>PLANTADEIRA NH PL7000 60 LINHAS</v>
      </c>
      <c r="E1852" s="33" t="s">
        <v>311</v>
      </c>
      <c r="F1852" s="31">
        <v>779</v>
      </c>
      <c r="G1852" s="32">
        <v>3490</v>
      </c>
      <c r="H1852" s="32"/>
      <c r="I1852" s="32">
        <f t="shared" si="29"/>
        <v>3490</v>
      </c>
      <c r="J1852" s="18" t="s">
        <v>1196</v>
      </c>
      <c r="K1852" s="33"/>
      <c r="L1852" s="33" t="s">
        <v>4241</v>
      </c>
      <c r="M1852" s="33">
        <v>41897199</v>
      </c>
      <c r="N1852" s="30">
        <v>46199</v>
      </c>
      <c r="O1852" s="33" t="s">
        <v>1452</v>
      </c>
      <c r="P1852" s="33" t="s">
        <v>4183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>
      <c r="A1853" s="30">
        <v>46191</v>
      </c>
      <c r="B1853" s="30">
        <v>46197</v>
      </c>
      <c r="C1853" s="31">
        <v>81521332</v>
      </c>
      <c r="D1853" s="30" t="str">
        <f>IFERROR(VLOOKUP(Tabela5[[#This Row],[PREFIXO ]],Tabela4[#All],2,0),"CENTRO DE CUSTO")</f>
        <v>PLANT GRÃOS N.HOLLAND PL7000 60 LINHAS</v>
      </c>
      <c r="E1853" s="33" t="s">
        <v>311</v>
      </c>
      <c r="F1853" s="31">
        <v>775</v>
      </c>
      <c r="G1853" s="32">
        <v>3950</v>
      </c>
      <c r="H1853" s="32"/>
      <c r="I1853" s="32">
        <f t="shared" ref="I1853:I1916" si="30">G1853+H1853</f>
        <v>3950</v>
      </c>
      <c r="J1853" s="18" t="s">
        <v>1196</v>
      </c>
      <c r="K1853" s="33"/>
      <c r="L1853" s="33" t="s">
        <v>4241</v>
      </c>
      <c r="M1853" s="33">
        <v>41897199</v>
      </c>
      <c r="N1853" s="30">
        <v>46199</v>
      </c>
      <c r="O1853" s="33" t="s">
        <v>1452</v>
      </c>
      <c r="P1853" s="33" t="s">
        <v>4183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>
      <c r="A1854" s="30">
        <v>46191</v>
      </c>
      <c r="B1854" s="30">
        <v>46197</v>
      </c>
      <c r="C1854" s="31">
        <v>81521334</v>
      </c>
      <c r="D1854" s="30" t="str">
        <f>IFERROR(VLOOKUP(Tabela5[[#This Row],[PREFIXO ]],Tabela4[#All],2,0),"CENTRO DE CUSTO")</f>
        <v>PLANT GRÃOS N.HOLLAND PL7000 60 LINHAS</v>
      </c>
      <c r="E1854" s="33" t="s">
        <v>311</v>
      </c>
      <c r="F1854" s="31">
        <v>780</v>
      </c>
      <c r="G1854" s="32">
        <v>4860</v>
      </c>
      <c r="H1854" s="32"/>
      <c r="I1854" s="32">
        <f t="shared" si="30"/>
        <v>4860</v>
      </c>
      <c r="J1854" s="33" t="s">
        <v>1196</v>
      </c>
      <c r="K1854" s="33"/>
      <c r="L1854" s="33" t="s">
        <v>4257</v>
      </c>
      <c r="M1854" s="33" t="s">
        <v>4258</v>
      </c>
      <c r="N1854" s="30">
        <v>46205</v>
      </c>
      <c r="O1854" s="33" t="s">
        <v>2876</v>
      </c>
      <c r="P1854" s="33" t="s">
        <v>4183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>
      <c r="A1855" s="30">
        <v>46191</v>
      </c>
      <c r="B1855" s="30">
        <v>46197</v>
      </c>
      <c r="C1855" s="31">
        <v>81521297</v>
      </c>
      <c r="D1855" s="30" t="str">
        <f>IFERROR(VLOOKUP(Tabela5[[#This Row],[PREFIXO ]],Tabela4[#All],2,0),"CENTRO DE CUSTO")</f>
        <v>PLANT GRÃOS CASE FAST RISER 60 LINHAS</v>
      </c>
      <c r="E1855" s="33" t="s">
        <v>311</v>
      </c>
      <c r="F1855" s="31">
        <v>773</v>
      </c>
      <c r="G1855" s="32">
        <v>4599</v>
      </c>
      <c r="H1855" s="32"/>
      <c r="I1855" s="32">
        <f t="shared" si="30"/>
        <v>4599</v>
      </c>
      <c r="J1855" s="33" t="s">
        <v>1196</v>
      </c>
      <c r="K1855" s="33"/>
      <c r="L1855" s="33" t="s">
        <v>4257</v>
      </c>
      <c r="M1855" s="33" t="s">
        <v>4258</v>
      </c>
      <c r="N1855" s="30">
        <v>46205</v>
      </c>
      <c r="O1855" s="33" t="s">
        <v>2876</v>
      </c>
      <c r="P1855" s="33" t="s">
        <v>4183</v>
      </c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CONCLUÍDO</v>
      </c>
      <c r="R1855" s="33"/>
    </row>
    <row r="1856" spans="1:18">
      <c r="A1856" s="30">
        <v>46184</v>
      </c>
      <c r="B1856" s="30">
        <v>46192</v>
      </c>
      <c r="C1856" s="31">
        <v>23220004</v>
      </c>
      <c r="D1856" s="30" t="str">
        <f>IFERROR(VLOOKUP(Tabela5[[#This Row],[PREFIXO ]],Tabela4[#All],2,0),"CENTRO DE CUSTO")</f>
        <v>COLHED ALGODÃO JOHN DEERE CP 770</v>
      </c>
      <c r="E1856" s="33" t="s">
        <v>162</v>
      </c>
      <c r="F1856" s="31">
        <v>13218</v>
      </c>
      <c r="G1856" s="32">
        <v>10504.5</v>
      </c>
      <c r="H1856" s="32"/>
      <c r="I1856" s="32">
        <f t="shared" si="30"/>
        <v>10504.5</v>
      </c>
      <c r="J1856" s="18" t="s">
        <v>1120</v>
      </c>
      <c r="K1856" s="33" t="s">
        <v>4259</v>
      </c>
      <c r="L1856" s="33" t="s">
        <v>4260</v>
      </c>
      <c r="M1856" s="33">
        <v>41893153</v>
      </c>
      <c r="N1856" s="30">
        <v>46195</v>
      </c>
      <c r="O1856" s="33" t="s">
        <v>4261</v>
      </c>
      <c r="P1856" s="33" t="s">
        <v>3594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>
      <c r="A1857" s="30">
        <v>46191</v>
      </c>
      <c r="B1857" s="30">
        <v>46197</v>
      </c>
      <c r="C1857" s="31">
        <v>81521296</v>
      </c>
      <c r="D1857" s="30" t="str">
        <f>IFERROR(VLOOKUP(Tabela5[[#This Row],[PREFIXO ]],Tabela4[#All],2,0),"CENTRO DE CUSTO")</f>
        <v>PLANT GRÃOS CASE FAST RISER 60 LINHAS</v>
      </c>
      <c r="E1857" s="33" t="s">
        <v>311</v>
      </c>
      <c r="F1857" s="31">
        <v>768</v>
      </c>
      <c r="G1857" s="32">
        <v>8595</v>
      </c>
      <c r="H1857" s="32"/>
      <c r="I1857" s="32">
        <f t="shared" si="30"/>
        <v>8595</v>
      </c>
      <c r="J1857" s="18" t="s">
        <v>1196</v>
      </c>
      <c r="K1857" s="33"/>
      <c r="L1857" s="33" t="s">
        <v>4257</v>
      </c>
      <c r="M1857" s="33" t="s">
        <v>4258</v>
      </c>
      <c r="N1857" s="30">
        <v>46205</v>
      </c>
      <c r="O1857" s="33" t="s">
        <v>2876</v>
      </c>
      <c r="P1857" s="33" t="s">
        <v>4183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>
      <c r="A1858" s="30">
        <v>46184</v>
      </c>
      <c r="B1858" s="30">
        <v>46191</v>
      </c>
      <c r="C1858" s="31">
        <v>15730001</v>
      </c>
      <c r="D1858" s="30" t="str">
        <f>IFERROR(VLOOKUP(Tabela5[[#This Row],[PREFIXO ]],Tabela4[#All],2,0),"CENTRO DE CUSTO")</f>
        <v>IMPL COLHEIT GRÃOS COLOMBO TWIN MASTER 3</v>
      </c>
      <c r="E1858" s="33" t="s">
        <v>265</v>
      </c>
      <c r="F1858" s="31">
        <v>846</v>
      </c>
      <c r="G1858" s="32">
        <v>6070.5</v>
      </c>
      <c r="H1858" s="32"/>
      <c r="I1858" s="32">
        <f t="shared" si="30"/>
        <v>6070.5</v>
      </c>
      <c r="J1858" s="33" t="s">
        <v>1110</v>
      </c>
      <c r="K1858" s="33" t="s">
        <v>4262</v>
      </c>
      <c r="L1858" s="33" t="s">
        <v>4263</v>
      </c>
      <c r="M1858" s="33" t="s">
        <v>4264</v>
      </c>
      <c r="N1858" s="30">
        <v>46192</v>
      </c>
      <c r="O1858" s="33" t="s">
        <v>4265</v>
      </c>
      <c r="P1858" s="33" t="s">
        <v>4100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>
      <c r="A1859" s="30">
        <v>46184</v>
      </c>
      <c r="B1859" s="30">
        <v>46192</v>
      </c>
      <c r="C1859" s="31">
        <v>15730002</v>
      </c>
      <c r="D1859" s="30" t="str">
        <f>IFERROR(VLOOKUP(Tabela5[[#This Row],[PREFIXO ]],Tabela4[#All],2,0),"CENTRO DE CUSTO")</f>
        <v>CENTRO DE CUSTO</v>
      </c>
      <c r="E1859" s="33" t="s">
        <v>265</v>
      </c>
      <c r="F1859" s="31">
        <v>847</v>
      </c>
      <c r="G1859" s="32">
        <v>2394</v>
      </c>
      <c r="H1859" s="32"/>
      <c r="I1859" s="32">
        <f t="shared" si="30"/>
        <v>2394</v>
      </c>
      <c r="J1859" s="33" t="s">
        <v>1110</v>
      </c>
      <c r="K1859" s="33" t="s">
        <v>4266</v>
      </c>
      <c r="L1859" s="33" t="s">
        <v>4263</v>
      </c>
      <c r="M1859" s="33" t="s">
        <v>4264</v>
      </c>
      <c r="N1859" s="30">
        <v>46192</v>
      </c>
      <c r="O1859" s="33" t="s">
        <v>4265</v>
      </c>
      <c r="P1859" s="33" t="s">
        <v>4100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>
      <c r="A1860" s="30">
        <v>46184</v>
      </c>
      <c r="B1860" s="30">
        <v>46191</v>
      </c>
      <c r="C1860" s="31">
        <v>51521072</v>
      </c>
      <c r="D1860" s="30" t="str">
        <f>IFERROR(VLOOKUP(Tabela5[[#This Row],[PREFIXO ]],Tabela4[#All],2,0),"CENTRO DE CUSTO")</f>
        <v>COLHED ALGODÃO JOHN DEERE CP 690</v>
      </c>
      <c r="E1860" s="33" t="s">
        <v>265</v>
      </c>
      <c r="F1860" s="31">
        <v>880</v>
      </c>
      <c r="G1860" s="32">
        <v>3160</v>
      </c>
      <c r="H1860" s="32"/>
      <c r="I1860" s="32">
        <f t="shared" si="30"/>
        <v>3160</v>
      </c>
      <c r="J1860" s="33" t="s">
        <v>1110</v>
      </c>
      <c r="K1860" s="33" t="s">
        <v>4267</v>
      </c>
      <c r="L1860" s="33" t="s">
        <v>4263</v>
      </c>
      <c r="M1860" s="33" t="s">
        <v>4264</v>
      </c>
      <c r="N1860" s="30">
        <v>46192</v>
      </c>
      <c r="O1860" s="33" t="s">
        <v>4265</v>
      </c>
      <c r="P1860" s="33" t="s">
        <v>4100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>
      <c r="A1861" s="30">
        <v>46184</v>
      </c>
      <c r="B1861" s="30">
        <v>46192</v>
      </c>
      <c r="C1861" s="31">
        <v>500580220</v>
      </c>
      <c r="D1861" s="30" t="str">
        <f>IFERROR(VLOOKUP(Tabela5[[#This Row],[PREFIXO ]],Tabela4[#All],2,0),"CENTRO DE CUSTO")</f>
        <v>Implementos</v>
      </c>
      <c r="E1861" s="33" t="s">
        <v>249</v>
      </c>
      <c r="F1861" s="31">
        <v>247</v>
      </c>
      <c r="G1861" s="32">
        <v>21525</v>
      </c>
      <c r="H1861" s="32"/>
      <c r="I1861" s="32">
        <f t="shared" si="30"/>
        <v>21525</v>
      </c>
      <c r="J1861" s="33" t="s">
        <v>1196</v>
      </c>
      <c r="K1861" s="33" t="s">
        <v>4268</v>
      </c>
      <c r="L1861" s="33" t="s">
        <v>4269</v>
      </c>
      <c r="M1861" s="33">
        <v>41892427</v>
      </c>
      <c r="N1861" s="30">
        <v>46194</v>
      </c>
      <c r="O1861" s="33" t="s">
        <v>4270</v>
      </c>
      <c r="P1861" s="33" t="s">
        <v>3873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>
      <c r="A1862" s="30">
        <v>46184</v>
      </c>
      <c r="B1862" s="30">
        <v>46188</v>
      </c>
      <c r="C1862" s="31">
        <v>22080193</v>
      </c>
      <c r="D1862" s="30" t="str">
        <f>IFERROR(VLOOKUP(Tabela5[[#This Row],[PREFIXO ]],Tabela4[#All],2,0),"CENTRO DE CUSTO")</f>
        <v>CENTRO DE CUSTO</v>
      </c>
      <c r="E1862" s="33" t="s">
        <v>227</v>
      </c>
      <c r="F1862" s="31" t="s">
        <v>4271</v>
      </c>
      <c r="G1862" s="32">
        <v>2797.75</v>
      </c>
      <c r="H1862" s="32">
        <v>502.74</v>
      </c>
      <c r="I1862" s="32">
        <f t="shared" si="30"/>
        <v>3300.49</v>
      </c>
      <c r="J1862" s="33" t="s">
        <v>1196</v>
      </c>
      <c r="K1862" s="33" t="s">
        <v>4272</v>
      </c>
      <c r="L1862" s="33" t="s">
        <v>4273</v>
      </c>
      <c r="M1862" s="33" t="s">
        <v>4274</v>
      </c>
      <c r="N1862" s="30">
        <v>46190</v>
      </c>
      <c r="O1862" s="33" t="s">
        <v>4275</v>
      </c>
      <c r="P1862" s="33" t="s">
        <v>4276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>
      <c r="A1863" s="30">
        <v>46184</v>
      </c>
      <c r="B1863" s="30">
        <v>46192</v>
      </c>
      <c r="C1863" s="31">
        <v>11530009</v>
      </c>
      <c r="D1863" s="30" t="str">
        <f>IFERROR(VLOOKUP(Tabela5[[#This Row],[PREFIXO ]],Tabela4[#All],2,0),"CENTRO DE CUSTO")</f>
        <v>TRAT PN MED JOHN DEERE 6300</v>
      </c>
      <c r="E1863" s="33" t="s">
        <v>160</v>
      </c>
      <c r="F1863" s="31">
        <v>117</v>
      </c>
      <c r="G1863" s="32">
        <v>20000</v>
      </c>
      <c r="H1863" s="32"/>
      <c r="I1863" s="32">
        <f t="shared" si="30"/>
        <v>20000</v>
      </c>
      <c r="J1863" s="33" t="s">
        <v>1196</v>
      </c>
      <c r="K1863" s="33" t="s">
        <v>4277</v>
      </c>
      <c r="L1863" s="33" t="s">
        <v>4278</v>
      </c>
      <c r="M1863" s="33">
        <v>41891940</v>
      </c>
      <c r="N1863" s="30">
        <v>46192</v>
      </c>
      <c r="O1863" s="33" t="s">
        <v>2991</v>
      </c>
      <c r="P1863" s="33" t="s">
        <v>3594</v>
      </c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CONCLUÍDO</v>
      </c>
      <c r="R1863" s="33"/>
    </row>
    <row r="1864" spans="1:18">
      <c r="A1864" s="30">
        <v>46184</v>
      </c>
      <c r="B1864" s="30">
        <v>46191</v>
      </c>
      <c r="C1864" s="31">
        <v>11060002</v>
      </c>
      <c r="D1864" s="30" t="str">
        <f>IFERROR(VLOOKUP(Tabela5[[#This Row],[PREFIXO ]],Tabela4[#All],2,0),"CENTRO DE CUSTO")</f>
        <v>CENTRO DE CUSTO</v>
      </c>
      <c r="E1864" s="33" t="s">
        <v>110</v>
      </c>
      <c r="F1864" s="31">
        <v>34321</v>
      </c>
      <c r="G1864" s="32">
        <v>104</v>
      </c>
      <c r="H1864" s="32">
        <v>9153.0400000000009</v>
      </c>
      <c r="I1864" s="32">
        <f t="shared" si="30"/>
        <v>9257.0400000000009</v>
      </c>
      <c r="J1864" s="33" t="s">
        <v>1196</v>
      </c>
      <c r="K1864" s="33" t="s">
        <v>4279</v>
      </c>
      <c r="L1864" s="33" t="s">
        <v>4280</v>
      </c>
      <c r="M1864" s="33">
        <v>41890877</v>
      </c>
      <c r="N1864" s="30">
        <v>46191</v>
      </c>
      <c r="O1864" s="33" t="s">
        <v>4281</v>
      </c>
      <c r="P1864" s="33" t="s">
        <v>4282</v>
      </c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CONCLUÍDO</v>
      </c>
      <c r="R1864" s="33"/>
    </row>
    <row r="1865" spans="1:18">
      <c r="A1865" s="30">
        <v>46184</v>
      </c>
      <c r="B1865" s="30">
        <v>46188</v>
      </c>
      <c r="C1865" s="31">
        <v>1173014</v>
      </c>
      <c r="D1865" s="30" t="str">
        <f>IFERROR(VLOOKUP(Tabela5[[#This Row],[PREFIXO ]],Tabela4[#All],2,0),"CENTRO DE CUSTO")</f>
        <v>TRAT PN MED N.HOLLAND 7630</v>
      </c>
      <c r="E1865" s="33" t="s">
        <v>144</v>
      </c>
      <c r="F1865" s="31">
        <v>925</v>
      </c>
      <c r="G1865" s="32">
        <v>1558</v>
      </c>
      <c r="H1865" s="32"/>
      <c r="I1865" s="32">
        <f t="shared" si="30"/>
        <v>1558</v>
      </c>
      <c r="J1865" s="33" t="s">
        <v>1196</v>
      </c>
      <c r="K1865" s="33" t="s">
        <v>4283</v>
      </c>
      <c r="L1865" s="33" t="s">
        <v>4284</v>
      </c>
      <c r="M1865" s="33">
        <v>41888628</v>
      </c>
      <c r="N1865" s="30">
        <v>46189</v>
      </c>
      <c r="O1865" s="33" t="s">
        <v>4285</v>
      </c>
      <c r="P1865" s="33" t="s">
        <v>3568</v>
      </c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CONCLUÍDO</v>
      </c>
      <c r="R1865" s="33"/>
    </row>
    <row r="1866" spans="1:18">
      <c r="A1866" s="30">
        <v>46184</v>
      </c>
      <c r="B1866" s="30">
        <v>46188</v>
      </c>
      <c r="C1866" s="31">
        <v>61521041</v>
      </c>
      <c r="D1866" s="30" t="str">
        <f>IFERROR(VLOOKUP(Tabela5[[#This Row],[PREFIXO ]],Tabela4[#All],2,0),"CENTRO DE CUSTO")</f>
        <v>ONIB RODOVIÁRIO MASCARELLO GRAN MIDI</v>
      </c>
      <c r="E1866" s="33" t="s">
        <v>124</v>
      </c>
      <c r="F1866" s="31">
        <v>596</v>
      </c>
      <c r="G1866" s="32">
        <v>364.8</v>
      </c>
      <c r="H1866" s="32">
        <v>3445</v>
      </c>
      <c r="I1866" s="32">
        <f t="shared" si="30"/>
        <v>3809.8</v>
      </c>
      <c r="J1866" s="33" t="s">
        <v>1196</v>
      </c>
      <c r="K1866" s="33" t="s">
        <v>4286</v>
      </c>
      <c r="L1866" s="33" t="s">
        <v>4287</v>
      </c>
      <c r="M1866" s="33">
        <v>41888781</v>
      </c>
      <c r="N1866" s="30">
        <v>46189</v>
      </c>
      <c r="O1866" s="33" t="s">
        <v>4288</v>
      </c>
      <c r="P1866" s="33" t="s">
        <v>4289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>
      <c r="A1867" s="30">
        <v>46184</v>
      </c>
      <c r="B1867" s="30">
        <v>46188</v>
      </c>
      <c r="C1867" s="31">
        <v>61521042</v>
      </c>
      <c r="D1867" s="30" t="str">
        <f>IFERROR(VLOOKUP(Tabela5[[#This Row],[PREFIXO ]],Tabela4[#All],2,0),"CENTRO DE CUSTO")</f>
        <v>ONIB RODOVIÁRIO MASCARELLO GRAN MIDI</v>
      </c>
      <c r="E1867" s="33" t="s">
        <v>124</v>
      </c>
      <c r="F1867" s="31">
        <v>589</v>
      </c>
      <c r="G1867" s="32">
        <v>2188.8000000000002</v>
      </c>
      <c r="H1867" s="32">
        <v>3445</v>
      </c>
      <c r="I1867" s="32">
        <f t="shared" si="30"/>
        <v>5633.8</v>
      </c>
      <c r="J1867" s="33" t="s">
        <v>1196</v>
      </c>
      <c r="K1867" s="33" t="s">
        <v>4290</v>
      </c>
      <c r="L1867" s="33" t="s">
        <v>4291</v>
      </c>
      <c r="M1867" s="33">
        <v>41888782</v>
      </c>
      <c r="N1867" s="30">
        <v>46189</v>
      </c>
      <c r="O1867" s="33" t="s">
        <v>4292</v>
      </c>
      <c r="P1867" s="33" t="s">
        <v>4289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>
      <c r="A1868" s="30">
        <v>46184</v>
      </c>
      <c r="B1868" s="30">
        <v>46188</v>
      </c>
      <c r="C1868" s="31">
        <v>11040004</v>
      </c>
      <c r="D1868" s="30" t="str">
        <f>IFERROR(VLOOKUP(Tabela5[[#This Row],[PREFIXO ]],Tabela4[#All],2,0),"CENTRO DE CUSTO")</f>
        <v>CAV MEC EXT PES SCANIA R500</v>
      </c>
      <c r="E1868" s="33" t="s">
        <v>124</v>
      </c>
      <c r="F1868" s="31">
        <v>578</v>
      </c>
      <c r="G1868" s="32">
        <v>4204.8</v>
      </c>
      <c r="H1868" s="32"/>
      <c r="I1868" s="32">
        <f t="shared" si="30"/>
        <v>4204.8</v>
      </c>
      <c r="J1868" s="33" t="s">
        <v>1196</v>
      </c>
      <c r="K1868" s="33" t="s">
        <v>4293</v>
      </c>
      <c r="L1868" s="33" t="s">
        <v>4294</v>
      </c>
      <c r="M1868" s="33">
        <v>41888783</v>
      </c>
      <c r="N1868" s="30">
        <v>46189</v>
      </c>
      <c r="O1868" s="33" t="s">
        <v>2689</v>
      </c>
      <c r="P1868" s="33" t="s">
        <v>3594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>
      <c r="A1869" s="30">
        <v>46184</v>
      </c>
      <c r="B1869" s="30">
        <v>46192</v>
      </c>
      <c r="C1869" s="31">
        <v>85014054</v>
      </c>
      <c r="D1869" s="30" t="str">
        <f>IFERROR(VLOOKUP(Tabela5[[#This Row],[PREFIXO ]],Tabela4[#All],2,0),"CENTRO DE CUSTO")</f>
        <v>SUBSOLADOR PANTER 15 HASTES</v>
      </c>
      <c r="E1869" s="33" t="s">
        <v>96</v>
      </c>
      <c r="F1869" s="31" t="s">
        <v>4295</v>
      </c>
      <c r="G1869" s="32">
        <v>3654</v>
      </c>
      <c r="H1869" s="32">
        <v>3517.37</v>
      </c>
      <c r="I1869" s="32">
        <f t="shared" si="30"/>
        <v>7171.37</v>
      </c>
      <c r="J1869" s="33" t="s">
        <v>1196</v>
      </c>
      <c r="K1869" s="33" t="s">
        <v>4296</v>
      </c>
      <c r="L1869" s="33" t="s">
        <v>4297</v>
      </c>
      <c r="M1869" s="33" t="s">
        <v>4298</v>
      </c>
      <c r="N1869" s="30">
        <v>46192</v>
      </c>
      <c r="O1869" s="33" t="s">
        <v>4299</v>
      </c>
      <c r="P1869" s="33" t="s">
        <v>4111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>
      <c r="A1870" s="30">
        <v>46191</v>
      </c>
      <c r="B1870" s="30">
        <v>46197</v>
      </c>
      <c r="C1870" s="31">
        <v>8181032</v>
      </c>
      <c r="D1870" s="30" t="str">
        <f>IFERROR(VLOOKUP(Tabela5[[#This Row],[PREFIXO ]],Tabela4[#All],2,0),"CENTRO DE CUSTO")</f>
        <v>PLANT GRÃOS JOHN DEERE 9200 PI 12 LINHAS</v>
      </c>
      <c r="E1870" s="33" t="s">
        <v>311</v>
      </c>
      <c r="F1870" s="31">
        <v>784</v>
      </c>
      <c r="G1870" s="32">
        <v>3940</v>
      </c>
      <c r="H1870" s="32"/>
      <c r="I1870" s="32">
        <f t="shared" si="30"/>
        <v>3940</v>
      </c>
      <c r="J1870" s="33" t="s">
        <v>1196</v>
      </c>
      <c r="K1870" s="33"/>
      <c r="L1870" s="33" t="s">
        <v>4257</v>
      </c>
      <c r="M1870" s="33" t="s">
        <v>4258</v>
      </c>
      <c r="N1870" s="30">
        <v>46205</v>
      </c>
      <c r="O1870" s="33" t="s">
        <v>2876</v>
      </c>
      <c r="P1870" s="33" t="s">
        <v>4183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>
      <c r="A1871" s="30">
        <v>46184</v>
      </c>
      <c r="B1871" s="30">
        <v>46192</v>
      </c>
      <c r="C1871" s="31">
        <v>13100037</v>
      </c>
      <c r="D1871" s="30" t="str">
        <f>IFERROR(VLOOKUP(Tabela5[[#This Row],[PREFIXO ]],Tabela4[#All],2,0),"CENTRO DE CUSTO")</f>
        <v>CENTRO DE CUSTO</v>
      </c>
      <c r="E1871" s="33" t="s">
        <v>247</v>
      </c>
      <c r="F1871" s="31">
        <v>136433</v>
      </c>
      <c r="G1871" s="32">
        <v>680</v>
      </c>
      <c r="H1871" s="32"/>
      <c r="I1871" s="32">
        <f t="shared" si="30"/>
        <v>680</v>
      </c>
      <c r="J1871" s="33" t="s">
        <v>1196</v>
      </c>
      <c r="K1871" s="33" t="s">
        <v>4300</v>
      </c>
      <c r="L1871" s="33" t="s">
        <v>4301</v>
      </c>
      <c r="M1871" s="33">
        <v>41891895</v>
      </c>
      <c r="N1871" s="30">
        <v>46192</v>
      </c>
      <c r="O1871" s="33" t="s">
        <v>4302</v>
      </c>
      <c r="P1871" s="33" t="s">
        <v>3873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>
      <c r="A1872" s="30">
        <v>46191</v>
      </c>
      <c r="B1872" s="30">
        <v>46197</v>
      </c>
      <c r="C1872" s="31">
        <v>8173157</v>
      </c>
      <c r="D1872" s="30" t="str">
        <f>IFERROR(VLOOKUP(Tabela5[[#This Row],[PREFIXO ]],Tabela4[#All],2,0),"CENTRO DE CUSTO")</f>
        <v>PLANTADEIRA JD 9200 - 12 LINHAS</v>
      </c>
      <c r="E1872" s="33" t="s">
        <v>311</v>
      </c>
      <c r="F1872" s="31">
        <v>787</v>
      </c>
      <c r="G1872" s="32">
        <v>3940</v>
      </c>
      <c r="H1872" s="32"/>
      <c r="I1872" s="32">
        <f t="shared" si="30"/>
        <v>3940</v>
      </c>
      <c r="J1872" s="33" t="s">
        <v>1196</v>
      </c>
      <c r="K1872" s="33"/>
      <c r="L1872" s="33" t="s">
        <v>4257</v>
      </c>
      <c r="M1872" s="33" t="s">
        <v>4258</v>
      </c>
      <c r="N1872" s="30">
        <v>46205</v>
      </c>
      <c r="O1872" s="33" t="s">
        <v>2876</v>
      </c>
      <c r="P1872" s="33" t="s">
        <v>4183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>
      <c r="A1873" s="30">
        <v>46195</v>
      </c>
      <c r="B1873" s="30">
        <v>46197</v>
      </c>
      <c r="C1873" s="31">
        <v>61521030</v>
      </c>
      <c r="D1873" s="30" t="str">
        <f>IFERROR(VLOOKUP(Tabela5[[#This Row],[PREFIXO ]],Tabela4[#All],2,0),"CENTRO DE CUSTO")</f>
        <v>CAV MEC PES MERC BENZ ACTRO 2651</v>
      </c>
      <c r="E1873" s="33" t="s">
        <v>124</v>
      </c>
      <c r="F1873" s="31">
        <v>579</v>
      </c>
      <c r="G1873" s="32">
        <v>3628.8</v>
      </c>
      <c r="H1873" s="32"/>
      <c r="I1873" s="32">
        <f t="shared" si="30"/>
        <v>3628.8</v>
      </c>
      <c r="J1873" s="33" t="s">
        <v>1196</v>
      </c>
      <c r="K1873" s="33" t="s">
        <v>4303</v>
      </c>
      <c r="L1873" s="33" t="s">
        <v>4304</v>
      </c>
      <c r="M1873" s="33" t="s">
        <v>4305</v>
      </c>
      <c r="N1873" s="39">
        <v>46198</v>
      </c>
      <c r="O1873" s="33" t="s">
        <v>4306</v>
      </c>
      <c r="P1873" s="33" t="s">
        <v>4183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>
      <c r="A1874" s="30">
        <v>46195</v>
      </c>
      <c r="B1874" s="30">
        <v>46197</v>
      </c>
      <c r="C1874" s="31">
        <v>11040013</v>
      </c>
      <c r="D1874" s="30" t="str">
        <f>IFERROR(VLOOKUP(Tabela5[[#This Row],[PREFIXO ]],Tabela4[#All],2,0),"CENTRO DE CUSTO")</f>
        <v>CAV MEC EXT PES SCANIA R500</v>
      </c>
      <c r="E1874" s="33" t="s">
        <v>124</v>
      </c>
      <c r="F1874" s="31">
        <v>590</v>
      </c>
      <c r="G1874" s="32">
        <v>4108.8</v>
      </c>
      <c r="H1874" s="32">
        <v>385</v>
      </c>
      <c r="I1874" s="32">
        <f t="shared" si="30"/>
        <v>4493.8</v>
      </c>
      <c r="J1874" s="33" t="s">
        <v>1196</v>
      </c>
      <c r="K1874" s="33" t="s">
        <v>4307</v>
      </c>
      <c r="L1874" s="33" t="s">
        <v>4304</v>
      </c>
      <c r="M1874" s="33" t="s">
        <v>4305</v>
      </c>
      <c r="N1874" s="30">
        <v>46198</v>
      </c>
      <c r="O1874" s="33" t="s">
        <v>4306</v>
      </c>
      <c r="P1874" s="33" t="s">
        <v>4183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>
      <c r="A1875" s="30">
        <v>46195</v>
      </c>
      <c r="B1875" s="30">
        <v>46197</v>
      </c>
      <c r="C1875" s="31">
        <v>11040006</v>
      </c>
      <c r="D1875" s="30" t="str">
        <f>IFERROR(VLOOKUP(Tabela5[[#This Row],[PREFIXO ]],Tabela4[#All],2,0),"CENTRO DE CUSTO")</f>
        <v>CAV MEC EXT PES SCANIA R500</v>
      </c>
      <c r="E1875" s="33" t="s">
        <v>124</v>
      </c>
      <c r="F1875" s="31">
        <v>588</v>
      </c>
      <c r="G1875" s="32">
        <v>4406.3999999999996</v>
      </c>
      <c r="H1875" s="32"/>
      <c r="I1875" s="32">
        <f t="shared" si="30"/>
        <v>4406.3999999999996</v>
      </c>
      <c r="J1875" s="33" t="s">
        <v>1196</v>
      </c>
      <c r="K1875" s="33" t="s">
        <v>4308</v>
      </c>
      <c r="L1875" s="33" t="s">
        <v>4304</v>
      </c>
      <c r="M1875" s="33" t="s">
        <v>4305</v>
      </c>
      <c r="N1875" s="39">
        <v>46198</v>
      </c>
      <c r="O1875" s="33" t="s">
        <v>4306</v>
      </c>
      <c r="P1875" s="33" t="s">
        <v>4183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>
      <c r="A1876" s="30">
        <v>46195</v>
      </c>
      <c r="B1876" s="30">
        <v>46197</v>
      </c>
      <c r="C1876" s="31">
        <v>61521065</v>
      </c>
      <c r="D1876" s="30" t="str">
        <f>IFERROR(VLOOKUP(Tabela5[[#This Row],[PREFIXO ]],Tabela4[#All],2,0),"CENTRO DE CUSTO")</f>
        <v>CAM ROLL ON/OFF VOLVO VM 330</v>
      </c>
      <c r="E1876" s="33" t="s">
        <v>124</v>
      </c>
      <c r="F1876" s="31">
        <v>604</v>
      </c>
      <c r="G1876" s="32">
        <v>1980</v>
      </c>
      <c r="H1876" s="32"/>
      <c r="I1876" s="32">
        <f t="shared" si="30"/>
        <v>1980</v>
      </c>
      <c r="J1876" s="33" t="s">
        <v>1196</v>
      </c>
      <c r="K1876" s="33" t="s">
        <v>4309</v>
      </c>
      <c r="L1876" s="33" t="s">
        <v>4304</v>
      </c>
      <c r="M1876" s="33" t="s">
        <v>4305</v>
      </c>
      <c r="N1876" s="39">
        <v>46198</v>
      </c>
      <c r="O1876" s="33" t="s">
        <v>4306</v>
      </c>
      <c r="P1876" s="33" t="s">
        <v>4183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>
      <c r="A1877" s="30">
        <v>46184</v>
      </c>
      <c r="B1877" s="30">
        <v>46196</v>
      </c>
      <c r="C1877" s="31">
        <v>8173364</v>
      </c>
      <c r="D1877" s="30" t="str">
        <f>IFERROR(VLOOKUP(Tabela5[[#This Row],[PREFIXO ]],Tabela4[#All],2,0),"CENTRO DE CUSTO")</f>
        <v>SEMI REBOQUE PRANCHA FACCHINI SRF CT</v>
      </c>
      <c r="E1877" s="33" t="s">
        <v>29</v>
      </c>
      <c r="F1877" s="31">
        <v>55935</v>
      </c>
      <c r="G1877" s="32">
        <v>276</v>
      </c>
      <c r="H1877" s="32">
        <v>65.8</v>
      </c>
      <c r="I1877" s="32">
        <f t="shared" si="30"/>
        <v>341.8</v>
      </c>
      <c r="J1877" s="18" t="s">
        <v>1196</v>
      </c>
      <c r="K1877" s="33" t="s">
        <v>4310</v>
      </c>
      <c r="L1877" s="33" t="s">
        <v>4311</v>
      </c>
      <c r="M1877" s="33" t="s">
        <v>4312</v>
      </c>
      <c r="N1877" s="30">
        <v>46196</v>
      </c>
      <c r="O1877" s="33" t="s">
        <v>4313</v>
      </c>
      <c r="P1877" s="33" t="s">
        <v>3655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>
      <c r="A1878" s="30">
        <v>46184</v>
      </c>
      <c r="B1878" s="30">
        <v>46212</v>
      </c>
      <c r="C1878" s="31">
        <v>23220008</v>
      </c>
      <c r="D1878" s="30" t="str">
        <f>IFERROR(VLOOKUP(Tabela5[[#This Row],[PREFIXO ]],Tabela4[#All],2,0),"CENTRO DE CUSTO")</f>
        <v>CENTRO DE CUSTO</v>
      </c>
      <c r="E1878" s="33" t="s">
        <v>17</v>
      </c>
      <c r="F1878" s="31">
        <v>42744</v>
      </c>
      <c r="G1878" s="32">
        <v>1863</v>
      </c>
      <c r="H1878" s="32">
        <v>91865.85</v>
      </c>
      <c r="I1878" s="32">
        <f t="shared" si="30"/>
        <v>93728.85</v>
      </c>
      <c r="J1878" s="18" t="s">
        <v>1120</v>
      </c>
      <c r="K1878" s="33" t="s">
        <v>4314</v>
      </c>
      <c r="L1878" s="33" t="s">
        <v>4315</v>
      </c>
      <c r="M1878" s="33" t="s">
        <v>4316</v>
      </c>
      <c r="N1878" s="30">
        <v>46213</v>
      </c>
      <c r="O1878" s="33"/>
      <c r="P1878" s="33"/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FALTA NF</v>
      </c>
      <c r="R1878" s="33"/>
    </row>
    <row r="1879" spans="1:18">
      <c r="A1879" s="30">
        <v>46184</v>
      </c>
      <c r="B1879" s="30">
        <v>46196</v>
      </c>
      <c r="C1879" s="31">
        <v>11040015</v>
      </c>
      <c r="D1879" s="30" t="str">
        <f>IFERROR(VLOOKUP(Tabela5[[#This Row],[PREFIXO ]],Tabela4[#All],2,0),"CENTRO DE CUSTO")</f>
        <v>CAV MEC EXT PES SCANIA R500</v>
      </c>
      <c r="E1879" s="33" t="s">
        <v>29</v>
      </c>
      <c r="F1879" s="31">
        <v>55943</v>
      </c>
      <c r="G1879" s="32">
        <v>545</v>
      </c>
      <c r="H1879" s="32"/>
      <c r="I1879" s="32">
        <f t="shared" si="30"/>
        <v>545</v>
      </c>
      <c r="J1879" s="33" t="s">
        <v>1196</v>
      </c>
      <c r="K1879" s="33" t="s">
        <v>4317</v>
      </c>
      <c r="L1879" s="33" t="s">
        <v>4311</v>
      </c>
      <c r="M1879" s="33" t="s">
        <v>4312</v>
      </c>
      <c r="N1879" s="30">
        <v>46196</v>
      </c>
      <c r="O1879" s="33" t="s">
        <v>4318</v>
      </c>
      <c r="P1879" s="33" t="s">
        <v>3655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>
      <c r="A1880" s="30">
        <v>46188</v>
      </c>
      <c r="B1880" s="30">
        <v>46196</v>
      </c>
      <c r="C1880" s="31">
        <v>6173012</v>
      </c>
      <c r="D1880" s="30" t="str">
        <f>IFERROR(VLOOKUP(Tabela5[[#This Row],[PREFIXO ]],Tabela4[#All],2,0),"CENTRO DE CUSTO")</f>
        <v>CAM TRANSP LIXO MERC BENZ MB 1620</v>
      </c>
      <c r="E1880" s="33" t="s">
        <v>29</v>
      </c>
      <c r="F1880" s="31">
        <v>56070</v>
      </c>
      <c r="G1880" s="32">
        <v>80</v>
      </c>
      <c r="H1880" s="32">
        <v>733.2</v>
      </c>
      <c r="I1880" s="32">
        <f t="shared" si="30"/>
        <v>813.2</v>
      </c>
      <c r="J1880" s="18" t="s">
        <v>1196</v>
      </c>
      <c r="K1880" s="33" t="s">
        <v>4319</v>
      </c>
      <c r="L1880" s="33" t="s">
        <v>4320</v>
      </c>
      <c r="M1880" s="33" t="s">
        <v>4321</v>
      </c>
      <c r="N1880" s="30">
        <v>46196</v>
      </c>
      <c r="O1880" s="33" t="s">
        <v>4322</v>
      </c>
      <c r="P1880" s="33" t="s">
        <v>3594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>
      <c r="A1881" s="30">
        <v>46185</v>
      </c>
      <c r="B1881" s="30">
        <v>46190</v>
      </c>
      <c r="C1881" s="31">
        <v>61521081</v>
      </c>
      <c r="D1881" s="30" t="str">
        <f>IFERROR(VLOOKUP(Tabela5[[#This Row],[PREFIXO ]],Tabela4[#All],2,0),"CENTRO DE CUSTO")</f>
        <v>CAV MEC EXT PES VOLVO FH 540</v>
      </c>
      <c r="E1881" s="33" t="s">
        <v>353</v>
      </c>
      <c r="F1881" s="31">
        <v>3499269</v>
      </c>
      <c r="G1881" s="32">
        <v>105.1</v>
      </c>
      <c r="H1881" s="32">
        <v>6489.29</v>
      </c>
      <c r="I1881" s="32">
        <f t="shared" si="30"/>
        <v>6594.39</v>
      </c>
      <c r="J1881" s="33" t="s">
        <v>1196</v>
      </c>
      <c r="K1881" s="33" t="s">
        <v>4323</v>
      </c>
      <c r="L1881" s="33" t="s">
        <v>4324</v>
      </c>
      <c r="M1881" s="33">
        <v>41890745</v>
      </c>
      <c r="N1881" s="30">
        <v>46191</v>
      </c>
      <c r="O1881" s="33" t="s">
        <v>4325</v>
      </c>
      <c r="P1881" s="33" t="s">
        <v>3594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>
      <c r="A1882" s="30">
        <v>46195</v>
      </c>
      <c r="B1882" s="30">
        <v>46196</v>
      </c>
      <c r="C1882" s="31">
        <v>31521013</v>
      </c>
      <c r="D1882" s="30" t="str">
        <f>IFERROR(VLOOKUP(Tabela5[[#This Row],[PREFIXO ]],Tabela4[#All],2,0),"CENTRO DE CUSTO")</f>
        <v>PULV AUTOPROP JACTO UNIPORT 3030</v>
      </c>
      <c r="E1882" s="33" t="s">
        <v>49</v>
      </c>
      <c r="F1882" s="31" t="s">
        <v>4326</v>
      </c>
      <c r="G1882" s="32">
        <v>2004.43</v>
      </c>
      <c r="H1882" s="32"/>
      <c r="I1882" s="32">
        <f t="shared" si="30"/>
        <v>2004.43</v>
      </c>
      <c r="J1882" s="33" t="s">
        <v>1077</v>
      </c>
      <c r="K1882" s="33" t="s">
        <v>4327</v>
      </c>
      <c r="L1882" s="33" t="s">
        <v>4328</v>
      </c>
      <c r="M1882" s="33" t="s">
        <v>4329</v>
      </c>
      <c r="N1882" s="30">
        <v>46197</v>
      </c>
      <c r="O1882" s="33" t="s">
        <v>4330</v>
      </c>
      <c r="P1882" s="33" t="s">
        <v>3655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>
      <c r="A1883" s="30">
        <v>46195</v>
      </c>
      <c r="B1883" s="30">
        <v>46196</v>
      </c>
      <c r="C1883" s="31">
        <v>500580100</v>
      </c>
      <c r="D1883" s="30" t="str">
        <f>IFERROR(VLOOKUP(Tabela5[[#This Row],[PREFIXO ]],Tabela4[#All],2,0),"CENTRO DE CUSTO")</f>
        <v>Autopropelidos</v>
      </c>
      <c r="E1883" s="33" t="s">
        <v>49</v>
      </c>
      <c r="F1883" s="31" t="s">
        <v>3645</v>
      </c>
      <c r="G1883" s="32">
        <v>2608.4299999999998</v>
      </c>
      <c r="H1883" s="32"/>
      <c r="I1883" s="32">
        <f t="shared" si="30"/>
        <v>2608.4299999999998</v>
      </c>
      <c r="J1883" s="33" t="s">
        <v>1077</v>
      </c>
      <c r="K1883" s="33" t="s">
        <v>4331</v>
      </c>
      <c r="L1883" s="33" t="s">
        <v>4328</v>
      </c>
      <c r="M1883" s="33" t="s">
        <v>4329</v>
      </c>
      <c r="N1883" s="30">
        <v>46197</v>
      </c>
      <c r="O1883" s="33" t="s">
        <v>4330</v>
      </c>
      <c r="P1883" s="33" t="s">
        <v>3655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>
      <c r="A1884" s="30">
        <v>46188</v>
      </c>
      <c r="B1884" s="30">
        <v>46192</v>
      </c>
      <c r="C1884" s="31">
        <v>51521057</v>
      </c>
      <c r="D1884" s="30" t="str">
        <f>IFERROR(VLOOKUP(Tabela5[[#This Row],[PREFIXO ]],Tabela4[#All],2,0),"CENTRO DE CUSTO")</f>
        <v>COLHED ALGODÃO JOHN DEERE CP 690</v>
      </c>
      <c r="E1884" s="33" t="s">
        <v>17</v>
      </c>
      <c r="F1884" s="31">
        <v>44545</v>
      </c>
      <c r="G1884" s="32">
        <v>2000</v>
      </c>
      <c r="H1884" s="32">
        <v>2298.62</v>
      </c>
      <c r="I1884" s="32">
        <f t="shared" si="30"/>
        <v>4298.62</v>
      </c>
      <c r="J1884" s="18" t="s">
        <v>1120</v>
      </c>
      <c r="K1884" s="33" t="s">
        <v>4332</v>
      </c>
      <c r="L1884" s="33" t="s">
        <v>4333</v>
      </c>
      <c r="M1884" s="33" t="s">
        <v>4334</v>
      </c>
      <c r="N1884" s="30">
        <v>46192</v>
      </c>
      <c r="O1884" s="33" t="s">
        <v>4335</v>
      </c>
      <c r="P1884" s="33" t="s">
        <v>3594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>
      <c r="A1885" s="30">
        <v>46188</v>
      </c>
      <c r="B1885" s="30">
        <v>46192</v>
      </c>
      <c r="C1885" s="31">
        <v>51519061</v>
      </c>
      <c r="D1885" s="30" t="str">
        <f>IFERROR(VLOOKUP(Tabela5[[#This Row],[PREFIXO ]],Tabela4[#All],2,0),"CENTRO DE CUSTO")</f>
        <v>CENTRO DE CUSTO</v>
      </c>
      <c r="E1885" s="33" t="s">
        <v>17</v>
      </c>
      <c r="F1885" s="31">
        <v>44680</v>
      </c>
      <c r="G1885" s="32">
        <v>3776.3</v>
      </c>
      <c r="H1885" s="32">
        <v>2177.64</v>
      </c>
      <c r="I1885" s="32">
        <f t="shared" si="30"/>
        <v>5953.9400000000005</v>
      </c>
      <c r="J1885" s="18" t="s">
        <v>1120</v>
      </c>
      <c r="K1885" s="33" t="s">
        <v>4336</v>
      </c>
      <c r="L1885" s="33" t="s">
        <v>4337</v>
      </c>
      <c r="M1885" s="33" t="s">
        <v>4338</v>
      </c>
      <c r="N1885" s="30">
        <v>46192</v>
      </c>
      <c r="O1885" s="33" t="s">
        <v>4339</v>
      </c>
      <c r="P1885" s="33" t="s">
        <v>3594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>
      <c r="A1886" s="30">
        <v>46188</v>
      </c>
      <c r="B1886" s="30">
        <v>46192</v>
      </c>
      <c r="C1886" s="31">
        <v>51519055</v>
      </c>
      <c r="D1886" s="30" t="str">
        <f>IFERROR(VLOOKUP(Tabela5[[#This Row],[PREFIXO ]],Tabela4[#All],2,0),"CENTRO DE CUSTO")</f>
        <v>COLHED ALGODÃO JOHN DEERE CP 770</v>
      </c>
      <c r="E1886" s="33" t="s">
        <v>17</v>
      </c>
      <c r="F1886" s="31">
        <v>44681</v>
      </c>
      <c r="G1886" s="32">
        <v>2870</v>
      </c>
      <c r="H1886" s="32">
        <v>2177.64</v>
      </c>
      <c r="I1886" s="32">
        <f t="shared" si="30"/>
        <v>5047.6399999999994</v>
      </c>
      <c r="J1886" s="18" t="s">
        <v>1120</v>
      </c>
      <c r="K1886" s="33" t="s">
        <v>4340</v>
      </c>
      <c r="L1886" s="33" t="s">
        <v>4341</v>
      </c>
      <c r="M1886" s="33" t="s">
        <v>4342</v>
      </c>
      <c r="N1886" s="30">
        <v>46202</v>
      </c>
      <c r="O1886" s="33" t="s">
        <v>4343</v>
      </c>
      <c r="P1886" s="33" t="s">
        <v>4344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>
      <c r="A1887" s="30">
        <v>46195</v>
      </c>
      <c r="B1887" s="30">
        <v>46196</v>
      </c>
      <c r="C1887" s="31">
        <v>31521029</v>
      </c>
      <c r="D1887" s="30" t="str">
        <f>IFERROR(VLOOKUP(Tabela5[[#This Row],[PREFIXO ]],Tabela4[#All],2,0),"CENTRO DE CUSTO")</f>
        <v>PULV AUTOPROP JACTO UNIPORT 3030</v>
      </c>
      <c r="E1887" s="33" t="s">
        <v>49</v>
      </c>
      <c r="F1887" s="31" t="s">
        <v>3644</v>
      </c>
      <c r="G1887" s="32">
        <v>298.39999999999998</v>
      </c>
      <c r="H1887" s="32"/>
      <c r="I1887" s="32">
        <f t="shared" si="30"/>
        <v>298.39999999999998</v>
      </c>
      <c r="J1887" s="18" t="s">
        <v>1077</v>
      </c>
      <c r="K1887" s="33" t="s">
        <v>4345</v>
      </c>
      <c r="L1887" s="33" t="s">
        <v>4328</v>
      </c>
      <c r="M1887" s="33" t="s">
        <v>4329</v>
      </c>
      <c r="N1887" s="30">
        <v>46197</v>
      </c>
      <c r="O1887" s="33" t="s">
        <v>4330</v>
      </c>
      <c r="P1887" s="33" t="s">
        <v>3655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>
      <c r="A1888" s="30">
        <v>46195</v>
      </c>
      <c r="B1888" s="30">
        <v>46196</v>
      </c>
      <c r="C1888" s="31">
        <v>31521029</v>
      </c>
      <c r="D1888" s="30" t="str">
        <f>IFERROR(VLOOKUP(Tabela5[[#This Row],[PREFIXO ]],Tabela4[#All],2,0),"CENTRO DE CUSTO")</f>
        <v>PULV AUTOPROP JACTO UNIPORT 3030</v>
      </c>
      <c r="E1888" s="33" t="s">
        <v>49</v>
      </c>
      <c r="F1888" s="31" t="s">
        <v>3970</v>
      </c>
      <c r="G1888" s="32">
        <v>470</v>
      </c>
      <c r="H1888" s="32"/>
      <c r="I1888" s="32">
        <f t="shared" si="30"/>
        <v>470</v>
      </c>
      <c r="J1888" s="18" t="s">
        <v>1077</v>
      </c>
      <c r="K1888" s="33" t="s">
        <v>4346</v>
      </c>
      <c r="L1888" s="33" t="s">
        <v>4328</v>
      </c>
      <c r="M1888" s="33" t="s">
        <v>4329</v>
      </c>
      <c r="N1888" s="30">
        <v>46197</v>
      </c>
      <c r="O1888" s="33" t="s">
        <v>4330</v>
      </c>
      <c r="P1888" s="33" t="s">
        <v>3655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>
      <c r="A1889" s="30">
        <v>46188</v>
      </c>
      <c r="B1889" s="30">
        <v>46192</v>
      </c>
      <c r="C1889" s="31">
        <v>51521044</v>
      </c>
      <c r="D1889" s="30" t="str">
        <f>IFERROR(VLOOKUP(Tabela5[[#This Row],[PREFIXO ]],Tabela4[#All],2,0),"CENTRO DE CUSTO")</f>
        <v>COLHED ALGODÃO JOHN DEERE CP 690</v>
      </c>
      <c r="E1889" s="33" t="s">
        <v>17</v>
      </c>
      <c r="F1889" s="31">
        <v>44636</v>
      </c>
      <c r="G1889" s="32">
        <v>3427.02</v>
      </c>
      <c r="H1889" s="32">
        <v>2177.64</v>
      </c>
      <c r="I1889" s="32">
        <f t="shared" si="30"/>
        <v>5604.66</v>
      </c>
      <c r="J1889" s="18" t="s">
        <v>1120</v>
      </c>
      <c r="K1889" s="33" t="s">
        <v>4347</v>
      </c>
      <c r="L1889" s="33" t="s">
        <v>4348</v>
      </c>
      <c r="M1889" s="33" t="s">
        <v>4349</v>
      </c>
      <c r="N1889" s="30">
        <v>46195</v>
      </c>
      <c r="O1889" s="33" t="s">
        <v>4350</v>
      </c>
      <c r="P1889" s="33" t="s">
        <v>3594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>
      <c r="A1890" s="30">
        <v>46188</v>
      </c>
      <c r="B1890" s="30">
        <v>46192</v>
      </c>
      <c r="C1890" s="31">
        <v>51521064</v>
      </c>
      <c r="D1890" s="30" t="str">
        <f>IFERROR(VLOOKUP(Tabela5[[#This Row],[PREFIXO ]],Tabela4[#All],2,0),"CENTRO DE CUSTO")</f>
        <v>COLHED ALGODÃO JOHN DEERE CP 690</v>
      </c>
      <c r="E1890" s="33" t="s">
        <v>17</v>
      </c>
      <c r="F1890" s="31">
        <v>44635</v>
      </c>
      <c r="G1890" s="32">
        <v>3110.34</v>
      </c>
      <c r="H1890" s="32">
        <v>2177.64</v>
      </c>
      <c r="I1890" s="32">
        <f t="shared" si="30"/>
        <v>5287.98</v>
      </c>
      <c r="J1890" s="18" t="s">
        <v>1120</v>
      </c>
      <c r="K1890" s="33" t="s">
        <v>4351</v>
      </c>
      <c r="L1890" s="33" t="s">
        <v>4352</v>
      </c>
      <c r="M1890" s="33" t="s">
        <v>4353</v>
      </c>
      <c r="N1890" s="30">
        <v>46195</v>
      </c>
      <c r="O1890" s="33" t="s">
        <v>4354</v>
      </c>
      <c r="P1890" s="33" t="s">
        <v>3594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>
      <c r="A1891" s="30">
        <v>46195</v>
      </c>
      <c r="B1891" s="30">
        <v>46196</v>
      </c>
      <c r="C1891" s="31">
        <v>13150008</v>
      </c>
      <c r="D1891" s="30" t="str">
        <f>IFERROR(VLOOKUP(Tabela5[[#This Row],[PREFIXO ]],Tabela4[#All],2,0),"CENTRO DE CUSTO")</f>
        <v>CENTRO DE CUSTO</v>
      </c>
      <c r="E1891" s="33" t="s">
        <v>49</v>
      </c>
      <c r="F1891" s="31" t="s">
        <v>4023</v>
      </c>
      <c r="G1891" s="32">
        <v>1125</v>
      </c>
      <c r="H1891" s="32"/>
      <c r="I1891" s="32">
        <f t="shared" si="30"/>
        <v>1125</v>
      </c>
      <c r="J1891" s="33" t="s">
        <v>1077</v>
      </c>
      <c r="K1891" s="33" t="s">
        <v>4355</v>
      </c>
      <c r="L1891" s="33" t="s">
        <v>4328</v>
      </c>
      <c r="M1891" s="33" t="s">
        <v>4329</v>
      </c>
      <c r="N1891" s="30">
        <v>46197</v>
      </c>
      <c r="O1891" s="33" t="s">
        <v>4330</v>
      </c>
      <c r="P1891" s="33" t="s">
        <v>3655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>
      <c r="A1892" s="30">
        <v>46195</v>
      </c>
      <c r="B1892" s="30">
        <v>46196</v>
      </c>
      <c r="C1892" s="31">
        <v>31521028</v>
      </c>
      <c r="D1892" s="30" t="str">
        <f>IFERROR(VLOOKUP(Tabela5[[#This Row],[PREFIXO ]],Tabela4[#All],2,0),"CENTRO DE CUSTO")</f>
        <v>PULV AUTOPROP JACTO UNIPORT 3030</v>
      </c>
      <c r="E1892" s="33" t="s">
        <v>49</v>
      </c>
      <c r="F1892" s="31" t="s">
        <v>4356</v>
      </c>
      <c r="G1892" s="32">
        <v>466.6</v>
      </c>
      <c r="H1892" s="32"/>
      <c r="I1892" s="32">
        <f t="shared" si="30"/>
        <v>466.6</v>
      </c>
      <c r="J1892" s="33" t="s">
        <v>1077</v>
      </c>
      <c r="K1892" s="33" t="s">
        <v>4357</v>
      </c>
      <c r="L1892" s="33" t="s">
        <v>4328</v>
      </c>
      <c r="M1892" s="33" t="s">
        <v>4329</v>
      </c>
      <c r="N1892" s="30">
        <v>46197</v>
      </c>
      <c r="O1892" s="33" t="s">
        <v>4330</v>
      </c>
      <c r="P1892" s="33" t="s">
        <v>3655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>
      <c r="A1893" s="30">
        <v>46195</v>
      </c>
      <c r="B1893" s="30">
        <v>46196</v>
      </c>
      <c r="C1893" s="31">
        <v>35005012</v>
      </c>
      <c r="D1893" s="30" t="str">
        <f>IFERROR(VLOOKUP(Tabela5[[#This Row],[PREFIXO ]],Tabela4[#All],2,0),"CENTRO DE CUSTO")</f>
        <v>PULV AUTOPROP JACTO UNIPORT 3030</v>
      </c>
      <c r="E1893" s="33" t="s">
        <v>49</v>
      </c>
      <c r="F1893" s="31" t="s">
        <v>4358</v>
      </c>
      <c r="G1893" s="32">
        <v>1940</v>
      </c>
      <c r="H1893" s="32"/>
      <c r="I1893" s="32">
        <f t="shared" si="30"/>
        <v>1940</v>
      </c>
      <c r="J1893" s="33" t="s">
        <v>1077</v>
      </c>
      <c r="K1893" s="33" t="s">
        <v>4359</v>
      </c>
      <c r="L1893" s="33" t="s">
        <v>4328</v>
      </c>
      <c r="M1893" s="33" t="s">
        <v>4329</v>
      </c>
      <c r="N1893" s="30">
        <v>46197</v>
      </c>
      <c r="O1893" s="33" t="s">
        <v>4330</v>
      </c>
      <c r="P1893" s="33" t="s">
        <v>3655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>
      <c r="A1894" s="30">
        <v>46195</v>
      </c>
      <c r="B1894" s="30">
        <v>46196</v>
      </c>
      <c r="C1894" s="31">
        <v>35005012</v>
      </c>
      <c r="D1894" s="30" t="str">
        <f>IFERROR(VLOOKUP(Tabela5[[#This Row],[PREFIXO ]],Tabela4[#All],2,0),"CENTRO DE CUSTO")</f>
        <v>PULV AUTOPROP JACTO UNIPORT 3030</v>
      </c>
      <c r="E1894" s="33" t="s">
        <v>49</v>
      </c>
      <c r="F1894" s="31" t="s">
        <v>3641</v>
      </c>
      <c r="G1894" s="32">
        <v>901</v>
      </c>
      <c r="H1894" s="32"/>
      <c r="I1894" s="32">
        <f t="shared" si="30"/>
        <v>901</v>
      </c>
      <c r="J1894" s="33" t="s">
        <v>1077</v>
      </c>
      <c r="K1894" s="33" t="s">
        <v>4360</v>
      </c>
      <c r="L1894" s="33" t="s">
        <v>4328</v>
      </c>
      <c r="M1894" s="37" t="s">
        <v>4329</v>
      </c>
      <c r="N1894" s="16">
        <v>46197</v>
      </c>
      <c r="O1894" s="33" t="s">
        <v>4330</v>
      </c>
      <c r="P1894" s="33" t="s">
        <v>3655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>
      <c r="A1895" s="30">
        <v>46188</v>
      </c>
      <c r="B1895" s="30">
        <v>46189</v>
      </c>
      <c r="C1895" s="31">
        <v>65048072</v>
      </c>
      <c r="D1895" s="30" t="str">
        <f>IFERROR(VLOOKUP(Tabela5[[#This Row],[PREFIXO ]],Tabela4[#All],2,0),"CENTRO DE CUSTO")</f>
        <v>CENTRO DE CUSTO</v>
      </c>
      <c r="E1895" s="33" t="s">
        <v>68</v>
      </c>
      <c r="F1895" s="31">
        <v>2232</v>
      </c>
      <c r="G1895" s="32">
        <v>607.1</v>
      </c>
      <c r="H1895" s="32">
        <v>372.9</v>
      </c>
      <c r="I1895" s="32">
        <f t="shared" si="30"/>
        <v>980</v>
      </c>
      <c r="J1895" s="33" t="s">
        <v>1196</v>
      </c>
      <c r="K1895" s="33" t="s">
        <v>4361</v>
      </c>
      <c r="L1895" s="33" t="s">
        <v>4362</v>
      </c>
      <c r="M1895" s="33">
        <v>41889428</v>
      </c>
      <c r="N1895" s="41">
        <v>46190</v>
      </c>
      <c r="O1895" s="33" t="s">
        <v>4363</v>
      </c>
      <c r="P1895" s="33" t="s">
        <v>4364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>
      <c r="A1896" s="30">
        <v>46195</v>
      </c>
      <c r="B1896" s="30">
        <v>46196</v>
      </c>
      <c r="C1896" s="31">
        <v>31521031</v>
      </c>
      <c r="D1896" s="30" t="str">
        <f>IFERROR(VLOOKUP(Tabela5[[#This Row],[PREFIXO ]],Tabela4[#All],2,0),"CENTRO DE CUSTO")</f>
        <v>PULV AUTOPROP JACTO UNIPORT 3030</v>
      </c>
      <c r="E1896" s="33" t="s">
        <v>49</v>
      </c>
      <c r="F1896" s="31" t="s">
        <v>3643</v>
      </c>
      <c r="G1896" s="32">
        <v>651.20000000000005</v>
      </c>
      <c r="H1896" s="32"/>
      <c r="I1896" s="32">
        <f t="shared" si="30"/>
        <v>651.20000000000005</v>
      </c>
      <c r="J1896" s="18" t="s">
        <v>1077</v>
      </c>
      <c r="K1896" s="33" t="s">
        <v>4365</v>
      </c>
      <c r="L1896" s="33" t="s">
        <v>4328</v>
      </c>
      <c r="M1896" s="37" t="s">
        <v>4329</v>
      </c>
      <c r="N1896" s="16">
        <v>46197</v>
      </c>
      <c r="O1896" s="33" t="s">
        <v>4330</v>
      </c>
      <c r="P1896" s="33" t="s">
        <v>3655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>
      <c r="A1897" s="30">
        <v>46195</v>
      </c>
      <c r="B1897" s="30">
        <v>46196</v>
      </c>
      <c r="C1897" s="31">
        <v>31521016</v>
      </c>
      <c r="D1897" s="30" t="str">
        <f>IFERROR(VLOOKUP(Tabela5[[#This Row],[PREFIXO ]],Tabela4[#All],2,0),"CENTRO DE CUSTO")</f>
        <v>PULV AUTOPROP JACTO UNIPORT 3030</v>
      </c>
      <c r="E1897" s="33" t="s">
        <v>49</v>
      </c>
      <c r="F1897" s="31" t="s">
        <v>4366</v>
      </c>
      <c r="G1897" s="32">
        <v>827</v>
      </c>
      <c r="H1897" s="32"/>
      <c r="I1897" s="32">
        <f t="shared" si="30"/>
        <v>827</v>
      </c>
      <c r="J1897" s="18" t="s">
        <v>1077</v>
      </c>
      <c r="K1897" s="33" t="s">
        <v>4367</v>
      </c>
      <c r="L1897" s="33" t="s">
        <v>4328</v>
      </c>
      <c r="M1897" s="37" t="s">
        <v>4368</v>
      </c>
      <c r="N1897" s="16">
        <v>46198</v>
      </c>
      <c r="O1897" s="46" t="s">
        <v>4369</v>
      </c>
      <c r="P1897" s="33" t="s">
        <v>4089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>
      <c r="A1898" s="30">
        <v>46188</v>
      </c>
      <c r="B1898" s="30">
        <v>46195</v>
      </c>
      <c r="C1898" s="31">
        <v>13130037</v>
      </c>
      <c r="D1898" s="30" t="str">
        <f>IFERROR(VLOOKUP(Tabela5[[#This Row],[PREFIXO ]],Tabela4[#All],2,0),"CENTRO DE CUSTO")</f>
        <v>PULV AUTOPROP JOHN DEERE M4030</v>
      </c>
      <c r="E1898" s="33" t="s">
        <v>67</v>
      </c>
      <c r="F1898" s="31">
        <v>185</v>
      </c>
      <c r="G1898" s="32">
        <v>1450.98</v>
      </c>
      <c r="H1898" s="32"/>
      <c r="I1898" s="32">
        <f t="shared" si="30"/>
        <v>1450.98</v>
      </c>
      <c r="J1898" s="18" t="s">
        <v>1077</v>
      </c>
      <c r="K1898" s="33" t="s">
        <v>4370</v>
      </c>
      <c r="L1898" s="33" t="s">
        <v>4371</v>
      </c>
      <c r="M1898" s="37">
        <v>41894188</v>
      </c>
      <c r="N1898" s="16">
        <v>46196</v>
      </c>
      <c r="O1898" s="46" t="s">
        <v>4198</v>
      </c>
      <c r="P1898" s="33" t="s">
        <v>3594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>
      <c r="A1899" s="30">
        <v>46188</v>
      </c>
      <c r="B1899" s="30">
        <v>46195</v>
      </c>
      <c r="C1899" s="31" t="s">
        <v>4372</v>
      </c>
      <c r="D1899" s="30" t="str">
        <f>IFERROR(VLOOKUP(Tabela5[[#This Row],[PREFIXO ]],Tabela4[#All],2,0),"CENTRO DE CUSTO")</f>
        <v>CENTRO DE CUSTO</v>
      </c>
      <c r="E1899" s="33" t="s">
        <v>67</v>
      </c>
      <c r="F1899" s="31">
        <v>186</v>
      </c>
      <c r="G1899" s="32">
        <v>2112.1999999999998</v>
      </c>
      <c r="H1899" s="32"/>
      <c r="I1899" s="32">
        <f t="shared" si="30"/>
        <v>2112.1999999999998</v>
      </c>
      <c r="J1899" s="18" t="s">
        <v>1077</v>
      </c>
      <c r="K1899" s="33" t="s">
        <v>4373</v>
      </c>
      <c r="L1899" s="33" t="s">
        <v>4371</v>
      </c>
      <c r="M1899" s="37">
        <v>41894188</v>
      </c>
      <c r="N1899" s="16">
        <v>46196</v>
      </c>
      <c r="O1899" s="46" t="s">
        <v>4198</v>
      </c>
      <c r="P1899" s="33" t="s">
        <v>3594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>
      <c r="A1900" s="30">
        <v>46188</v>
      </c>
      <c r="B1900" s="30">
        <v>46195</v>
      </c>
      <c r="C1900" s="31">
        <v>31521034</v>
      </c>
      <c r="D1900" s="30" t="str">
        <f>IFERROR(VLOOKUP(Tabela5[[#This Row],[PREFIXO ]],Tabela4[#All],2,0),"CENTRO DE CUSTO")</f>
        <v>ADUB AUTOPROP KUHN ACCURA ST 7000</v>
      </c>
      <c r="E1900" s="33" t="s">
        <v>67</v>
      </c>
      <c r="F1900" s="31">
        <v>187</v>
      </c>
      <c r="G1900" s="32">
        <v>1800</v>
      </c>
      <c r="H1900" s="32"/>
      <c r="I1900" s="32">
        <f t="shared" si="30"/>
        <v>1800</v>
      </c>
      <c r="J1900" s="18" t="s">
        <v>1077</v>
      </c>
      <c r="K1900" s="33" t="s">
        <v>4374</v>
      </c>
      <c r="L1900" s="33" t="s">
        <v>4371</v>
      </c>
      <c r="M1900" s="37">
        <v>41894188</v>
      </c>
      <c r="N1900" s="16">
        <v>46196</v>
      </c>
      <c r="O1900" s="46" t="s">
        <v>4198</v>
      </c>
      <c r="P1900" s="33" t="s">
        <v>3594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>
      <c r="A1901" s="30">
        <v>46188</v>
      </c>
      <c r="B1901" s="30">
        <v>46195</v>
      </c>
      <c r="C1901" s="31">
        <v>15430003</v>
      </c>
      <c r="D1901" s="30" t="str">
        <f>IFERROR(VLOOKUP(Tabela5[[#This Row],[PREFIXO ]],Tabela4[#All],2,0),"CENTRO DE CUSTO")</f>
        <v>ATOMIZADOR TEC SPRAY ATOMAX</v>
      </c>
      <c r="E1901" s="33" t="s">
        <v>67</v>
      </c>
      <c r="F1901" s="31">
        <v>188</v>
      </c>
      <c r="G1901" s="32">
        <v>1800</v>
      </c>
      <c r="H1901" s="32"/>
      <c r="I1901" s="32">
        <f t="shared" si="30"/>
        <v>1800</v>
      </c>
      <c r="J1901" s="18" t="s">
        <v>1077</v>
      </c>
      <c r="K1901" s="33" t="s">
        <v>4375</v>
      </c>
      <c r="L1901" s="33" t="s">
        <v>4371</v>
      </c>
      <c r="M1901" s="37">
        <v>41894188</v>
      </c>
      <c r="N1901" s="16">
        <v>46196</v>
      </c>
      <c r="O1901" s="46" t="s">
        <v>4198</v>
      </c>
      <c r="P1901" s="33" t="s">
        <v>3594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>
      <c r="A1902" s="30">
        <v>46188</v>
      </c>
      <c r="B1902" s="30">
        <v>46195</v>
      </c>
      <c r="C1902" s="31">
        <v>61521039</v>
      </c>
      <c r="D1902" s="30" t="str">
        <f>IFERROR(VLOOKUP(Tabela5[[#This Row],[PREFIXO ]],Tabela4[#All],2,0),"CENTRO DE CUSTO")</f>
        <v>CAM MUNCK MERC BENZ ATEGO 1719</v>
      </c>
      <c r="E1902" s="33" t="s">
        <v>67</v>
      </c>
      <c r="F1902" s="31">
        <v>189</v>
      </c>
      <c r="G1902" s="32">
        <v>1575</v>
      </c>
      <c r="H1902" s="32"/>
      <c r="I1902" s="32">
        <f t="shared" si="30"/>
        <v>1575</v>
      </c>
      <c r="J1902" s="18" t="s">
        <v>1077</v>
      </c>
      <c r="K1902" s="33" t="s">
        <v>4376</v>
      </c>
      <c r="L1902" s="33" t="s">
        <v>4371</v>
      </c>
      <c r="M1902" s="37">
        <v>41894188</v>
      </c>
      <c r="N1902" s="16">
        <v>46196</v>
      </c>
      <c r="O1902" s="46" t="s">
        <v>4198</v>
      </c>
      <c r="P1902" s="33" t="s">
        <v>3594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>
      <c r="A1903" s="30">
        <v>46188</v>
      </c>
      <c r="B1903" s="30">
        <v>46195</v>
      </c>
      <c r="C1903" s="31">
        <v>61521028</v>
      </c>
      <c r="D1903" s="30" t="str">
        <f>IFERROR(VLOOKUP(Tabela5[[#This Row],[PREFIXO ]],Tabela4[#All],2,0),"CENTRO DE CUSTO")</f>
        <v>CENTRO DE CUSTO</v>
      </c>
      <c r="E1903" s="33" t="s">
        <v>67</v>
      </c>
      <c r="F1903" s="31">
        <v>194</v>
      </c>
      <c r="G1903" s="32">
        <v>855.5</v>
      </c>
      <c r="H1903" s="32"/>
      <c r="I1903" s="32">
        <f t="shared" si="30"/>
        <v>855.5</v>
      </c>
      <c r="J1903" s="33" t="s">
        <v>1077</v>
      </c>
      <c r="K1903" s="33" t="s">
        <v>4377</v>
      </c>
      <c r="L1903" s="33" t="s">
        <v>4371</v>
      </c>
      <c r="M1903" s="37" t="s">
        <v>4378</v>
      </c>
      <c r="N1903" s="16">
        <v>46196</v>
      </c>
      <c r="O1903" s="46" t="s">
        <v>4198</v>
      </c>
      <c r="P1903" s="33" t="s">
        <v>3594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>
      <c r="A1904" s="30">
        <v>46188</v>
      </c>
      <c r="B1904" s="30">
        <v>46195</v>
      </c>
      <c r="C1904" s="31">
        <v>51521048</v>
      </c>
      <c r="D1904" s="30" t="str">
        <f>IFERROR(VLOOKUP(Tabela5[[#This Row],[PREFIXO ]],Tabela4[#All],2,0),"CENTRO DE CUSTO")</f>
        <v>COLHED ALGODÃO JOHN DEERE CP 690</v>
      </c>
      <c r="E1904" s="33" t="s">
        <v>67</v>
      </c>
      <c r="F1904" s="31">
        <v>191</v>
      </c>
      <c r="G1904" s="32">
        <v>2300</v>
      </c>
      <c r="H1904" s="32"/>
      <c r="I1904" s="32">
        <f t="shared" si="30"/>
        <v>2300</v>
      </c>
      <c r="J1904" s="33" t="s">
        <v>1120</v>
      </c>
      <c r="K1904" s="33" t="s">
        <v>4379</v>
      </c>
      <c r="L1904" s="33" t="s">
        <v>4380</v>
      </c>
      <c r="M1904" s="37" t="s">
        <v>4381</v>
      </c>
      <c r="N1904" s="16">
        <v>46196</v>
      </c>
      <c r="O1904" s="46" t="s">
        <v>4270</v>
      </c>
      <c r="P1904" s="33" t="s">
        <v>3594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>
      <c r="A1905" s="30">
        <v>46188</v>
      </c>
      <c r="B1905" s="30">
        <v>46195</v>
      </c>
      <c r="C1905" s="31">
        <v>51521043</v>
      </c>
      <c r="D1905" s="30" t="str">
        <f>IFERROR(VLOOKUP(Tabela5[[#This Row],[PREFIXO ]],Tabela4[#All],2,0),"CENTRO DE CUSTO")</f>
        <v>COLHED ALGODÃO JOHN DEERE CP 690</v>
      </c>
      <c r="E1905" s="33" t="s">
        <v>67</v>
      </c>
      <c r="F1905" s="31">
        <v>190</v>
      </c>
      <c r="G1905" s="32">
        <v>2760</v>
      </c>
      <c r="H1905" s="32"/>
      <c r="I1905" s="32">
        <f t="shared" si="30"/>
        <v>2760</v>
      </c>
      <c r="J1905" s="18" t="s">
        <v>1120</v>
      </c>
      <c r="K1905" s="33" t="s">
        <v>4382</v>
      </c>
      <c r="L1905" s="33" t="s">
        <v>4380</v>
      </c>
      <c r="M1905" s="33" t="s">
        <v>4381</v>
      </c>
      <c r="N1905" s="41">
        <v>46196</v>
      </c>
      <c r="O1905" s="46" t="s">
        <v>4270</v>
      </c>
      <c r="P1905" s="33" t="s">
        <v>3594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>
      <c r="A1906" s="30">
        <v>46188</v>
      </c>
      <c r="B1906" s="30">
        <v>46192</v>
      </c>
      <c r="C1906" s="31">
        <v>13130047</v>
      </c>
      <c r="D1906" s="30" t="str">
        <f>IFERROR(VLOOKUP(Tabela5[[#This Row],[PREFIXO ]],Tabela4[#All],2,0),"CENTRO DE CUSTO")</f>
        <v>PULV AUTOPROP JOHN DEERE M4030</v>
      </c>
      <c r="E1906" s="33" t="s">
        <v>17</v>
      </c>
      <c r="F1906" s="31" t="s">
        <v>4383</v>
      </c>
      <c r="G1906" s="32">
        <v>3570.62</v>
      </c>
      <c r="H1906" s="32">
        <v>55297.82</v>
      </c>
      <c r="I1906" s="32">
        <f t="shared" si="30"/>
        <v>58868.44</v>
      </c>
      <c r="J1906" s="33" t="s">
        <v>1262</v>
      </c>
      <c r="K1906" s="33" t="s">
        <v>4384</v>
      </c>
      <c r="L1906" s="33" t="s">
        <v>4385</v>
      </c>
      <c r="M1906" s="33" t="s">
        <v>4386</v>
      </c>
      <c r="N1906" s="30">
        <v>46194</v>
      </c>
      <c r="O1906" s="33" t="s">
        <v>4387</v>
      </c>
      <c r="P1906" s="33" t="s">
        <v>3594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>
      <c r="A1907" s="30">
        <v>46188</v>
      </c>
      <c r="B1907" s="30">
        <v>46192</v>
      </c>
      <c r="C1907" s="31">
        <v>18010001</v>
      </c>
      <c r="D1907" s="30" t="str">
        <f>IFERROR(VLOOKUP(Tabela5[[#This Row],[PREFIXO ]],Tabela4[#All],2,0),"CENTRO DE CUSTO")</f>
        <v>AVIAO APLIC AGR AIR TRACT AT-802A</v>
      </c>
      <c r="E1907" s="33" t="s">
        <v>13</v>
      </c>
      <c r="F1907" s="31" t="s">
        <v>4388</v>
      </c>
      <c r="G1907" s="32">
        <v>11000</v>
      </c>
      <c r="H1907" s="32"/>
      <c r="I1907" s="32">
        <f t="shared" si="30"/>
        <v>11000</v>
      </c>
      <c r="J1907" s="33" t="s">
        <v>1196</v>
      </c>
      <c r="K1907" s="33" t="s">
        <v>4389</v>
      </c>
      <c r="L1907" s="33" t="s">
        <v>4390</v>
      </c>
      <c r="M1907" s="33">
        <v>41892436</v>
      </c>
      <c r="N1907" s="30">
        <v>46194</v>
      </c>
      <c r="O1907" s="33" t="s">
        <v>4391</v>
      </c>
      <c r="P1907" s="33" t="s">
        <v>4282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>
      <c r="A1908" s="30">
        <v>46188</v>
      </c>
      <c r="B1908" s="30">
        <v>46192</v>
      </c>
      <c r="C1908" s="31">
        <v>18010001</v>
      </c>
      <c r="D1908" s="30" t="str">
        <f>IFERROR(VLOOKUP(Tabela5[[#This Row],[PREFIXO ]],Tabela4[#All],2,0),"CENTRO DE CUSTO")</f>
        <v>AVIAO APLIC AGR AIR TRACT AT-802A</v>
      </c>
      <c r="E1908" s="33" t="s">
        <v>13</v>
      </c>
      <c r="F1908" s="31" t="s">
        <v>4392</v>
      </c>
      <c r="G1908" s="32">
        <v>27200</v>
      </c>
      <c r="H1908" s="32"/>
      <c r="I1908" s="32">
        <f t="shared" si="30"/>
        <v>27200</v>
      </c>
      <c r="J1908" s="33" t="s">
        <v>1196</v>
      </c>
      <c r="K1908" s="33" t="s">
        <v>4389</v>
      </c>
      <c r="L1908" s="33" t="s">
        <v>4390</v>
      </c>
      <c r="M1908" s="33">
        <v>41892436</v>
      </c>
      <c r="N1908" s="30">
        <v>46194</v>
      </c>
      <c r="O1908" s="33" t="s">
        <v>4391</v>
      </c>
      <c r="P1908" s="33" t="s">
        <v>4282</v>
      </c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CONCLUÍDO</v>
      </c>
      <c r="R1908" s="33"/>
    </row>
    <row r="1909" spans="1:18">
      <c r="A1909" s="30">
        <v>46188</v>
      </c>
      <c r="B1909" s="30">
        <v>46192</v>
      </c>
      <c r="C1909" s="31">
        <v>51521051</v>
      </c>
      <c r="D1909" s="30" t="str">
        <f>IFERROR(VLOOKUP(Tabela5[[#This Row],[PREFIXO ]],Tabela4[#All],2,0),"CENTRO DE CUSTO")</f>
        <v>COLHED ALGODÃO JOHN DEERE CP 690</v>
      </c>
      <c r="E1909" s="33" t="s">
        <v>17</v>
      </c>
      <c r="F1909" s="31">
        <v>44547</v>
      </c>
      <c r="G1909" s="32">
        <v>2551.36</v>
      </c>
      <c r="H1909" s="32">
        <v>2177.64</v>
      </c>
      <c r="I1909" s="32">
        <f t="shared" si="30"/>
        <v>4729</v>
      </c>
      <c r="J1909" s="18" t="s">
        <v>1120</v>
      </c>
      <c r="K1909" s="33" t="s">
        <v>4393</v>
      </c>
      <c r="L1909" s="33" t="s">
        <v>4394</v>
      </c>
      <c r="M1909" s="33" t="s">
        <v>4395</v>
      </c>
      <c r="N1909" s="30">
        <v>46195</v>
      </c>
      <c r="O1909" s="33" t="s">
        <v>4396</v>
      </c>
      <c r="P1909" s="33" t="s">
        <v>3594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>
      <c r="A1910" s="30">
        <v>46188</v>
      </c>
      <c r="B1910" s="16">
        <v>46192</v>
      </c>
      <c r="C1910" s="21">
        <v>51521050</v>
      </c>
      <c r="D1910" s="16" t="str">
        <f>IFERROR(VLOOKUP(Tabela5[[#This Row],[PREFIXO ]],Tabela4[#All],2,0),"CENTRO DE CUSTO")</f>
        <v>COLHED ALGODÃO JOHN DEERE CP 690</v>
      </c>
      <c r="E1910" s="18" t="s">
        <v>17</v>
      </c>
      <c r="F1910" s="21">
        <v>44449</v>
      </c>
      <c r="G1910" s="22">
        <v>2489.16</v>
      </c>
      <c r="H1910" s="22">
        <v>2177.64</v>
      </c>
      <c r="I1910" s="22">
        <f t="shared" si="30"/>
        <v>4666.7999999999993</v>
      </c>
      <c r="J1910" s="18" t="s">
        <v>1120</v>
      </c>
      <c r="K1910" s="18" t="s">
        <v>4397</v>
      </c>
      <c r="L1910" s="18" t="s">
        <v>4398</v>
      </c>
      <c r="M1910" s="18" t="s">
        <v>4399</v>
      </c>
      <c r="N1910" s="30">
        <v>46195</v>
      </c>
      <c r="O1910" s="18" t="s">
        <v>4400</v>
      </c>
      <c r="P1910" s="18" t="s">
        <v>3594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>
      <c r="A1911" s="30">
        <v>46188</v>
      </c>
      <c r="B1911" s="16">
        <v>46192</v>
      </c>
      <c r="C1911" s="21">
        <v>51519059</v>
      </c>
      <c r="D1911" s="16" t="str">
        <f>IFERROR(VLOOKUP(Tabela5[[#This Row],[PREFIXO ]],Tabela4[#All],2,0),"CENTRO DE CUSTO")</f>
        <v>CENTRO DE CUSTO</v>
      </c>
      <c r="E1911" s="18" t="s">
        <v>17</v>
      </c>
      <c r="F1911" s="21">
        <v>44679</v>
      </c>
      <c r="G1911" s="22">
        <v>2000</v>
      </c>
      <c r="H1911" s="22">
        <v>2419.6</v>
      </c>
      <c r="I1911" s="22">
        <f t="shared" si="30"/>
        <v>4419.6000000000004</v>
      </c>
      <c r="J1911" s="18" t="s">
        <v>1120</v>
      </c>
      <c r="K1911" s="18" t="s">
        <v>4401</v>
      </c>
      <c r="L1911" s="18" t="s">
        <v>4402</v>
      </c>
      <c r="M1911" s="18" t="s">
        <v>4403</v>
      </c>
      <c r="N1911" s="41">
        <v>46195</v>
      </c>
      <c r="O1911" s="18" t="s">
        <v>4404</v>
      </c>
      <c r="P1911" s="18" t="s">
        <v>3594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>
      <c r="A1912" s="30">
        <v>46188</v>
      </c>
      <c r="B1912" s="16">
        <v>46192</v>
      </c>
      <c r="C1912" s="21">
        <v>51519062</v>
      </c>
      <c r="D1912" s="16" t="str">
        <f>IFERROR(VLOOKUP(Tabela5[[#This Row],[PREFIXO ]],Tabela4[#All],2,0),"CENTRO DE CUSTO")</f>
        <v>CENTRO DE CUSTO</v>
      </c>
      <c r="E1912" s="18" t="s">
        <v>17</v>
      </c>
      <c r="F1912" s="21">
        <v>44631</v>
      </c>
      <c r="G1912" s="22">
        <v>2254.48</v>
      </c>
      <c r="H1912" s="22">
        <v>2177.64</v>
      </c>
      <c r="I1912" s="22">
        <f t="shared" si="30"/>
        <v>4432.12</v>
      </c>
      <c r="J1912" s="18" t="s">
        <v>1120</v>
      </c>
      <c r="K1912" s="18" t="s">
        <v>4405</v>
      </c>
      <c r="L1912" s="18" t="s">
        <v>4406</v>
      </c>
      <c r="M1912" s="18" t="s">
        <v>4407</v>
      </c>
      <c r="N1912" s="41">
        <v>46195</v>
      </c>
      <c r="O1912" s="18" t="s">
        <v>4408</v>
      </c>
      <c r="P1912" s="18" t="s">
        <v>3594</v>
      </c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CONCLUÍDO</v>
      </c>
      <c r="R1912" s="18"/>
    </row>
    <row r="1913" spans="1:18">
      <c r="A1913" s="30">
        <v>46188</v>
      </c>
      <c r="B1913" s="16">
        <v>46192</v>
      </c>
      <c r="C1913" s="21">
        <v>13130047</v>
      </c>
      <c r="D1913" s="16" t="str">
        <f>IFERROR(VLOOKUP(Tabela5[[#This Row],[PREFIXO ]],Tabela4[#All],2,0),"CENTRO DE CUSTO")</f>
        <v>PULV AUTOPROP JOHN DEERE M4030</v>
      </c>
      <c r="E1913" s="18" t="s">
        <v>17</v>
      </c>
      <c r="F1913" s="21">
        <v>44164</v>
      </c>
      <c r="G1913" s="22">
        <v>211.11</v>
      </c>
      <c r="H1913" s="22">
        <v>3851.38</v>
      </c>
      <c r="I1913" s="22">
        <f t="shared" si="30"/>
        <v>4062.4900000000002</v>
      </c>
      <c r="J1913" s="18" t="s">
        <v>1262</v>
      </c>
      <c r="K1913" s="18" t="s">
        <v>4409</v>
      </c>
      <c r="L1913" s="18" t="s">
        <v>4410</v>
      </c>
      <c r="M1913" s="18" t="s">
        <v>4411</v>
      </c>
      <c r="N1913" s="41">
        <v>46195</v>
      </c>
      <c r="O1913" s="18" t="s">
        <v>4412</v>
      </c>
      <c r="P1913" s="18" t="s">
        <v>3594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>
      <c r="A1914" s="30">
        <v>46188</v>
      </c>
      <c r="B1914" s="16">
        <v>46196</v>
      </c>
      <c r="C1914" s="21">
        <v>85048097</v>
      </c>
      <c r="D1914" s="16" t="str">
        <f>IFERROR(VLOOKUP(Tabela5[[#This Row],[PREFIXO ]],Tabela4[#All],2,0),"CENTRO DE CUSTO")</f>
        <v>CENTRO DE CUSTO</v>
      </c>
      <c r="E1914" s="18" t="s">
        <v>62</v>
      </c>
      <c r="F1914" s="21">
        <v>1427</v>
      </c>
      <c r="G1914" s="22">
        <v>1900</v>
      </c>
      <c r="H1914" s="22"/>
      <c r="I1914" s="22">
        <f t="shared" si="30"/>
        <v>1900</v>
      </c>
      <c r="J1914" s="18" t="s">
        <v>1196</v>
      </c>
      <c r="K1914" s="18" t="s">
        <v>4413</v>
      </c>
      <c r="L1914" s="18" t="s">
        <v>4414</v>
      </c>
      <c r="M1914" s="18">
        <v>41894183</v>
      </c>
      <c r="N1914" s="41">
        <v>46196</v>
      </c>
      <c r="O1914" s="18" t="s">
        <v>1887</v>
      </c>
      <c r="P1914" s="18" t="s">
        <v>3594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>
      <c r="A1915" s="30">
        <v>46188</v>
      </c>
      <c r="B1915" s="16">
        <v>46196</v>
      </c>
      <c r="C1915" s="21">
        <v>61521051</v>
      </c>
      <c r="D1915" s="16" t="str">
        <f>IFERROR(VLOOKUP(Tabela5[[#This Row],[PREFIXO ]],Tabela4[#All],2,0),"CENTRO DE CUSTO")</f>
        <v>CENTRO DE CUSTO</v>
      </c>
      <c r="E1915" s="18" t="s">
        <v>62</v>
      </c>
      <c r="F1915" s="21">
        <v>1426</v>
      </c>
      <c r="G1915" s="22">
        <v>10820</v>
      </c>
      <c r="H1915" s="22"/>
      <c r="I1915" s="22">
        <f t="shared" si="30"/>
        <v>10820</v>
      </c>
      <c r="J1915" s="18" t="s">
        <v>1196</v>
      </c>
      <c r="K1915" s="18" t="s">
        <v>4415</v>
      </c>
      <c r="L1915" s="18" t="s">
        <v>4414</v>
      </c>
      <c r="M1915" s="18">
        <v>41894183</v>
      </c>
      <c r="N1915" s="41">
        <v>46196</v>
      </c>
      <c r="O1915" s="18" t="s">
        <v>1887</v>
      </c>
      <c r="P1915" s="18" t="s">
        <v>3594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>
      <c r="A1916" s="30">
        <v>46188</v>
      </c>
      <c r="B1916" s="16">
        <v>46195</v>
      </c>
      <c r="C1916" s="21">
        <v>51521044</v>
      </c>
      <c r="D1916" s="16" t="str">
        <f>IFERROR(VLOOKUP(Tabela5[[#This Row],[PREFIXO ]],Tabela4[#All],2,0),"CENTRO DE CUSTO")</f>
        <v>COLHED ALGODÃO JOHN DEERE CP 690</v>
      </c>
      <c r="E1916" s="18" t="s">
        <v>67</v>
      </c>
      <c r="F1916" s="21">
        <v>192</v>
      </c>
      <c r="G1916" s="22">
        <v>1380</v>
      </c>
      <c r="H1916" s="22"/>
      <c r="I1916" s="22">
        <f t="shared" si="30"/>
        <v>1380</v>
      </c>
      <c r="J1916" s="18" t="s">
        <v>1120</v>
      </c>
      <c r="K1916" s="18" t="s">
        <v>4416</v>
      </c>
      <c r="L1916" s="18" t="s">
        <v>4380</v>
      </c>
      <c r="M1916" s="37" t="s">
        <v>4381</v>
      </c>
      <c r="N1916" s="16">
        <v>46196</v>
      </c>
      <c r="O1916" s="46" t="s">
        <v>4270</v>
      </c>
      <c r="P1916" s="33" t="s">
        <v>3594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>
      <c r="A1917" s="30">
        <v>46188</v>
      </c>
      <c r="B1917" s="16">
        <v>46196</v>
      </c>
      <c r="C1917" s="21">
        <v>61521076</v>
      </c>
      <c r="D1917" s="16" t="str">
        <f>IFERROR(VLOOKUP(Tabela5[[#This Row],[PREFIXO ]],Tabela4[#All],2,0),"CENTRO DE CUSTO")</f>
        <v>CAM CARGA SECA MERC BENZ ACCELO 815</v>
      </c>
      <c r="E1917" s="18" t="s">
        <v>29</v>
      </c>
      <c r="F1917" s="21">
        <v>56019</v>
      </c>
      <c r="G1917" s="22">
        <v>545</v>
      </c>
      <c r="H1917" s="22"/>
      <c r="I1917" s="22">
        <f t="shared" ref="I1917:I1979" si="31">G1917+H1917</f>
        <v>545</v>
      </c>
      <c r="J1917" s="18" t="s">
        <v>1196</v>
      </c>
      <c r="K1917" s="18" t="s">
        <v>4417</v>
      </c>
      <c r="L1917" s="18" t="s">
        <v>4320</v>
      </c>
      <c r="M1917" s="18">
        <v>41894102</v>
      </c>
      <c r="N1917" s="41">
        <v>46196</v>
      </c>
      <c r="O1917" s="18" t="s">
        <v>4418</v>
      </c>
      <c r="P1917" s="18" t="s">
        <v>3594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>
      <c r="A1918" s="30">
        <v>46188</v>
      </c>
      <c r="B1918" s="16">
        <v>46212</v>
      </c>
      <c r="C1918" s="21">
        <v>5173120</v>
      </c>
      <c r="D1918" s="16" t="str">
        <f>IFERROR(VLOOKUP(Tabela5[[#This Row],[PREFIXO ]],Tabela4[#All],2,0),"CENTRO DE CUSTO")</f>
        <v>COLHED ALGODÃO JOHN DEERE 7760</v>
      </c>
      <c r="E1918" s="18" t="s">
        <v>17</v>
      </c>
      <c r="F1918" s="21">
        <v>44451</v>
      </c>
      <c r="G1918" s="22">
        <v>3498.74</v>
      </c>
      <c r="H1918" s="22">
        <v>2177.64</v>
      </c>
      <c r="I1918" s="22">
        <f t="shared" si="31"/>
        <v>5676.3799999999992</v>
      </c>
      <c r="J1918" s="18" t="s">
        <v>1120</v>
      </c>
      <c r="K1918" s="18" t="s">
        <v>4419</v>
      </c>
      <c r="L1918" s="18" t="s">
        <v>4420</v>
      </c>
      <c r="M1918" s="18" t="s">
        <v>4421</v>
      </c>
      <c r="N1918" s="41">
        <v>46213</v>
      </c>
      <c r="O1918" s="18"/>
      <c r="P1918" s="18"/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FALTA NF</v>
      </c>
      <c r="R1918" s="18"/>
    </row>
    <row r="1919" spans="1:18">
      <c r="A1919" s="30">
        <v>46188</v>
      </c>
      <c r="B1919" s="16">
        <v>46195</v>
      </c>
      <c r="C1919" s="21" t="s">
        <v>4422</v>
      </c>
      <c r="D1919" s="16" t="str">
        <f>IFERROR(VLOOKUP(Tabela5[[#This Row],[PREFIXO ]],Tabela4[#All],2,0),"CENTRO DE CUSTO")</f>
        <v>CENTRO DE CUSTO</v>
      </c>
      <c r="E1919" s="18" t="s">
        <v>67</v>
      </c>
      <c r="F1919" s="21">
        <v>193</v>
      </c>
      <c r="G1919" s="22">
        <v>3707</v>
      </c>
      <c r="H1919" s="22"/>
      <c r="I1919" s="22">
        <f t="shared" si="31"/>
        <v>3707</v>
      </c>
      <c r="J1919" s="18" t="s">
        <v>1120</v>
      </c>
      <c r="K1919" s="18" t="s">
        <v>4423</v>
      </c>
      <c r="L1919" s="18" t="s">
        <v>4424</v>
      </c>
      <c r="M1919" s="36" t="s">
        <v>4425</v>
      </c>
      <c r="N1919" s="16">
        <v>46196</v>
      </c>
      <c r="O1919" s="47" t="s">
        <v>2416</v>
      </c>
      <c r="P1919" s="18" t="s">
        <v>3594</v>
      </c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CONCLUÍDO</v>
      </c>
      <c r="R1919" s="18"/>
    </row>
    <row r="1920" spans="1:18">
      <c r="A1920" s="30">
        <v>46188</v>
      </c>
      <c r="B1920" s="30">
        <v>46195</v>
      </c>
      <c r="C1920" s="31">
        <v>500580579</v>
      </c>
      <c r="D1920" s="30" t="str">
        <f>IFERROR(VLOOKUP(Tabela5[[#This Row],[PREFIXO ]],Tabela4[#All],2,0),"CENTRO DE CUSTO")</f>
        <v>Pátio de Vendas</v>
      </c>
      <c r="E1920" s="33" t="s">
        <v>67</v>
      </c>
      <c r="F1920" s="31">
        <v>184</v>
      </c>
      <c r="G1920" s="32">
        <v>3000</v>
      </c>
      <c r="H1920" s="32"/>
      <c r="I1920" s="32">
        <f t="shared" si="31"/>
        <v>3000</v>
      </c>
      <c r="J1920" s="18" t="s">
        <v>1120</v>
      </c>
      <c r="K1920" s="33" t="s">
        <v>4426</v>
      </c>
      <c r="L1920" s="33" t="s">
        <v>4424</v>
      </c>
      <c r="M1920" s="36" t="s">
        <v>4425</v>
      </c>
      <c r="N1920" s="16">
        <v>46196</v>
      </c>
      <c r="O1920" s="47" t="s">
        <v>2416</v>
      </c>
      <c r="P1920" s="33" t="s">
        <v>3594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>
      <c r="A1921" s="30">
        <v>46188</v>
      </c>
      <c r="B1921" s="30">
        <v>46195</v>
      </c>
      <c r="C1921" s="31">
        <v>500580579</v>
      </c>
      <c r="D1921" s="30" t="str">
        <f>IFERROR(VLOOKUP(Tabela5[[#This Row],[PREFIXO ]],Tabela4[#All],2,0),"CENTRO DE CUSTO")</f>
        <v>Pátio de Vendas</v>
      </c>
      <c r="E1921" s="33" t="s">
        <v>67</v>
      </c>
      <c r="F1921" s="31">
        <v>183</v>
      </c>
      <c r="G1921" s="32">
        <v>6000</v>
      </c>
      <c r="H1921" s="32"/>
      <c r="I1921" s="32">
        <f t="shared" si="31"/>
        <v>6000</v>
      </c>
      <c r="J1921" s="33" t="s">
        <v>3657</v>
      </c>
      <c r="K1921" s="33" t="s">
        <v>4426</v>
      </c>
      <c r="L1921" s="33" t="s">
        <v>4424</v>
      </c>
      <c r="M1921" s="36" t="s">
        <v>4425</v>
      </c>
      <c r="N1921" s="16">
        <v>46196</v>
      </c>
      <c r="O1921" s="47" t="s">
        <v>2416</v>
      </c>
      <c r="P1921" s="33" t="s">
        <v>3594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>
      <c r="A1922" s="30">
        <v>46184</v>
      </c>
      <c r="B1922" s="30">
        <v>46190</v>
      </c>
      <c r="C1922" s="31">
        <v>51521071</v>
      </c>
      <c r="D1922" s="30" t="str">
        <f>IFERROR(VLOOKUP(Tabela5[[#This Row],[PREFIXO ]],Tabela4[#All],2,0),"CENTRO DE CUSTO")</f>
        <v>COLHED ALGODÃO JOHN DEERE CP 690</v>
      </c>
      <c r="E1922" s="33" t="s">
        <v>255</v>
      </c>
      <c r="F1922" s="31">
        <v>990</v>
      </c>
      <c r="G1922" s="32">
        <v>2500</v>
      </c>
      <c r="H1922" s="32"/>
      <c r="I1922" s="32">
        <f t="shared" si="31"/>
        <v>2500</v>
      </c>
      <c r="J1922" s="18" t="s">
        <v>1110</v>
      </c>
      <c r="K1922" s="33" t="s">
        <v>4427</v>
      </c>
      <c r="L1922" s="33" t="s">
        <v>4428</v>
      </c>
      <c r="M1922" s="37">
        <v>41889630</v>
      </c>
      <c r="N1922" s="16">
        <v>46190</v>
      </c>
      <c r="O1922" s="46" t="s">
        <v>3326</v>
      </c>
      <c r="P1922" s="33" t="s">
        <v>3655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>
      <c r="A1923" s="30">
        <v>46184</v>
      </c>
      <c r="B1923" s="30">
        <v>46190</v>
      </c>
      <c r="C1923" s="31">
        <v>51521051</v>
      </c>
      <c r="D1923" s="30" t="str">
        <f>IFERROR(VLOOKUP(Tabela5[[#This Row],[PREFIXO ]],Tabela4[#All],2,0),"CENTRO DE CUSTO")</f>
        <v>COLHED ALGODÃO JOHN DEERE CP 690</v>
      </c>
      <c r="E1923" s="33" t="s">
        <v>255</v>
      </c>
      <c r="F1923" s="31">
        <v>992</v>
      </c>
      <c r="G1923" s="32">
        <v>2500</v>
      </c>
      <c r="H1923" s="32"/>
      <c r="I1923" s="32">
        <f t="shared" si="31"/>
        <v>2500</v>
      </c>
      <c r="J1923" s="18" t="s">
        <v>1110</v>
      </c>
      <c r="K1923" s="33" t="s">
        <v>4429</v>
      </c>
      <c r="L1923" s="33" t="s">
        <v>4428</v>
      </c>
      <c r="M1923" s="37">
        <v>41889630</v>
      </c>
      <c r="N1923" s="16">
        <v>46190</v>
      </c>
      <c r="O1923" s="46" t="s">
        <v>3326</v>
      </c>
      <c r="P1923" s="33" t="s">
        <v>3655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>
      <c r="A1924" s="30">
        <v>46184</v>
      </c>
      <c r="B1924" s="30">
        <v>46190</v>
      </c>
      <c r="C1924" s="31">
        <v>51521052</v>
      </c>
      <c r="D1924" s="30" t="str">
        <f>IFERROR(VLOOKUP(Tabela5[[#This Row],[PREFIXO ]],Tabela4[#All],2,0),"CENTRO DE CUSTO")</f>
        <v>COLHED ALGODÃO JOHN DEERE CP 690</v>
      </c>
      <c r="E1924" s="33" t="s">
        <v>255</v>
      </c>
      <c r="F1924" s="31">
        <v>991</v>
      </c>
      <c r="G1924" s="32">
        <v>2500</v>
      </c>
      <c r="H1924" s="32"/>
      <c r="I1924" s="32">
        <f t="shared" si="31"/>
        <v>2500</v>
      </c>
      <c r="J1924" s="18" t="s">
        <v>1110</v>
      </c>
      <c r="K1924" s="33" t="s">
        <v>4430</v>
      </c>
      <c r="L1924" s="33" t="s">
        <v>4428</v>
      </c>
      <c r="M1924" s="37">
        <v>41889630</v>
      </c>
      <c r="N1924" s="16">
        <v>46190</v>
      </c>
      <c r="O1924" s="46" t="s">
        <v>3326</v>
      </c>
      <c r="P1924" s="33" t="s">
        <v>3655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>
      <c r="A1925" s="30">
        <v>46184</v>
      </c>
      <c r="B1925" s="30">
        <v>46190</v>
      </c>
      <c r="C1925" s="31">
        <v>51519061</v>
      </c>
      <c r="D1925" s="30" t="str">
        <f>IFERROR(VLOOKUP(Tabela5[[#This Row],[PREFIXO ]],Tabela4[#All],2,0),"CENTRO DE CUSTO")</f>
        <v>CENTRO DE CUSTO</v>
      </c>
      <c r="E1925" s="33" t="s">
        <v>255</v>
      </c>
      <c r="F1925" s="31">
        <v>994</v>
      </c>
      <c r="G1925" s="32">
        <v>1686</v>
      </c>
      <c r="H1925" s="32"/>
      <c r="I1925" s="32">
        <f t="shared" si="31"/>
        <v>1686</v>
      </c>
      <c r="J1925" s="18" t="s">
        <v>1110</v>
      </c>
      <c r="K1925" s="33" t="s">
        <v>4431</v>
      </c>
      <c r="L1925" s="33" t="s">
        <v>4428</v>
      </c>
      <c r="M1925" s="37">
        <v>41889630</v>
      </c>
      <c r="N1925" s="16">
        <v>46190</v>
      </c>
      <c r="O1925" s="46" t="s">
        <v>3326</v>
      </c>
      <c r="P1925" s="33" t="s">
        <v>3655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>
      <c r="A1926" s="30">
        <v>46184</v>
      </c>
      <c r="B1926" s="30">
        <v>46190</v>
      </c>
      <c r="C1926" s="31">
        <v>51521091</v>
      </c>
      <c r="D1926" s="30" t="str">
        <f>IFERROR(VLOOKUP(Tabela5[[#This Row],[PREFIXO ]],Tabela4[#All],2,0),"CENTRO DE CUSTO")</f>
        <v>COLHEIT DE GRÃOS N.HOLLAND CR 8.90</v>
      </c>
      <c r="E1926" s="33" t="s">
        <v>255</v>
      </c>
      <c r="F1926" s="31">
        <v>993</v>
      </c>
      <c r="G1926" s="32">
        <v>1636</v>
      </c>
      <c r="H1926" s="32"/>
      <c r="I1926" s="32">
        <f t="shared" si="31"/>
        <v>1636</v>
      </c>
      <c r="J1926" s="18" t="s">
        <v>1110</v>
      </c>
      <c r="K1926" s="33" t="s">
        <v>4432</v>
      </c>
      <c r="L1926" s="33" t="s">
        <v>4428</v>
      </c>
      <c r="M1926" s="33">
        <v>41889630</v>
      </c>
      <c r="N1926" s="41">
        <v>46190</v>
      </c>
      <c r="O1926" s="33" t="s">
        <v>3326</v>
      </c>
      <c r="P1926" s="33" t="s">
        <v>3655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>
      <c r="A1927" s="30">
        <v>46188</v>
      </c>
      <c r="B1927" s="30">
        <v>46213</v>
      </c>
      <c r="C1927" s="31">
        <v>500580325</v>
      </c>
      <c r="D1927" s="30" t="str">
        <f>IFERROR(VLOOKUP(Tabela5[[#This Row],[PREFIXO ]],Tabela4[#All],2,0),"CENTRO DE CUSTO")</f>
        <v>Colheitad. Alg Auto</v>
      </c>
      <c r="E1927" s="33" t="s">
        <v>293</v>
      </c>
      <c r="F1927" s="31">
        <v>61</v>
      </c>
      <c r="G1927" s="32">
        <v>31949.45</v>
      </c>
      <c r="H1927" s="32"/>
      <c r="I1927" s="32">
        <f t="shared" si="31"/>
        <v>31949.45</v>
      </c>
      <c r="J1927" s="33" t="s">
        <v>1110</v>
      </c>
      <c r="K1927" s="33" t="s">
        <v>4433</v>
      </c>
      <c r="L1927" s="33" t="s">
        <v>4434</v>
      </c>
      <c r="M1927" s="33" t="s">
        <v>4435</v>
      </c>
      <c r="N1927" s="30">
        <v>46213</v>
      </c>
      <c r="O1927" s="33"/>
      <c r="P1927" s="33"/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FALTA NF</v>
      </c>
      <c r="R1927" s="33"/>
    </row>
    <row r="1928" spans="1:18">
      <c r="A1928" s="30">
        <v>46184</v>
      </c>
      <c r="B1928" s="30">
        <v>46190</v>
      </c>
      <c r="C1928" s="31">
        <v>85048096</v>
      </c>
      <c r="D1928" s="30" t="str">
        <f>IFERROR(VLOOKUP(Tabela5[[#This Row],[PREFIXO ]],Tabela4[#All],2,0),"CENTRO DE CUSTO")</f>
        <v>CENTRO DE CUSTO</v>
      </c>
      <c r="E1928" s="33" t="s">
        <v>255</v>
      </c>
      <c r="F1928" s="31">
        <v>995</v>
      </c>
      <c r="G1928" s="32">
        <v>700</v>
      </c>
      <c r="H1928" s="32"/>
      <c r="I1928" s="32">
        <f t="shared" si="31"/>
        <v>700</v>
      </c>
      <c r="J1928" s="33" t="s">
        <v>1110</v>
      </c>
      <c r="K1928" s="33" t="s">
        <v>4436</v>
      </c>
      <c r="L1928" s="33" t="s">
        <v>4428</v>
      </c>
      <c r="M1928" s="33">
        <v>41889630</v>
      </c>
      <c r="N1928" s="30">
        <v>46190</v>
      </c>
      <c r="O1928" s="33" t="s">
        <v>3326</v>
      </c>
      <c r="P1928" s="33" t="s">
        <v>3655</v>
      </c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CONCLUÍDO</v>
      </c>
      <c r="R1928" s="33"/>
    </row>
    <row r="1929" spans="1:18">
      <c r="A1929" s="30">
        <v>46175</v>
      </c>
      <c r="B1929" s="30">
        <v>46185</v>
      </c>
      <c r="C1929" s="31">
        <v>500580325</v>
      </c>
      <c r="D1929" s="30" t="str">
        <f>IFERROR(VLOOKUP(Tabela5[[#This Row],[PREFIXO ]],Tabela4[#All],2,0),"CENTRO DE CUSTO")</f>
        <v>Colheitad. Alg Auto</v>
      </c>
      <c r="E1929" s="33" t="s">
        <v>246</v>
      </c>
      <c r="F1929" s="31">
        <v>500580325</v>
      </c>
      <c r="G1929" s="32">
        <v>6800</v>
      </c>
      <c r="H1929" s="32"/>
      <c r="I1929" s="32">
        <f t="shared" si="31"/>
        <v>6800</v>
      </c>
      <c r="J1929" s="18" t="s">
        <v>1120</v>
      </c>
      <c r="K1929" s="33" t="s">
        <v>4437</v>
      </c>
      <c r="L1929" s="33" t="s">
        <v>4438</v>
      </c>
      <c r="M1929" s="33" t="s">
        <v>4439</v>
      </c>
      <c r="N1929" s="30">
        <v>46189</v>
      </c>
      <c r="O1929" s="33" t="s">
        <v>2107</v>
      </c>
      <c r="P1929" s="33" t="s">
        <v>4161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>
      <c r="A1930" s="30">
        <v>46182</v>
      </c>
      <c r="B1930" s="30">
        <v>46185</v>
      </c>
      <c r="C1930" s="31">
        <v>500580325</v>
      </c>
      <c r="D1930" s="30" t="str">
        <f>IFERROR(VLOOKUP(Tabela5[[#This Row],[PREFIXO ]],Tabela4[#All],2,0),"CENTRO DE CUSTO")</f>
        <v>Colheitad. Alg Auto</v>
      </c>
      <c r="E1930" s="33" t="s">
        <v>246</v>
      </c>
      <c r="F1930" s="31">
        <v>500580325</v>
      </c>
      <c r="G1930" s="32">
        <v>10000</v>
      </c>
      <c r="H1930" s="32"/>
      <c r="I1930" s="32">
        <f t="shared" si="31"/>
        <v>10000</v>
      </c>
      <c r="J1930" s="33" t="s">
        <v>1110</v>
      </c>
      <c r="K1930" s="33" t="s">
        <v>4440</v>
      </c>
      <c r="L1930" s="33" t="s">
        <v>4438</v>
      </c>
      <c r="M1930" s="33" t="s">
        <v>4439</v>
      </c>
      <c r="N1930" s="30">
        <v>46189</v>
      </c>
      <c r="O1930" s="33" t="s">
        <v>2107</v>
      </c>
      <c r="P1930" s="33" t="s">
        <v>4161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>
      <c r="A1931" s="30">
        <v>46185</v>
      </c>
      <c r="B1931" s="30">
        <v>46185</v>
      </c>
      <c r="C1931" s="31">
        <v>500580325</v>
      </c>
      <c r="D1931" s="30" t="str">
        <f>IFERROR(VLOOKUP(Tabela5[[#This Row],[PREFIXO ]],Tabela4[#All],2,0),"CENTRO DE CUSTO")</f>
        <v>Colheitad. Alg Auto</v>
      </c>
      <c r="E1931" s="33" t="s">
        <v>246</v>
      </c>
      <c r="F1931" s="31">
        <v>500580325</v>
      </c>
      <c r="G1931" s="32">
        <v>10000</v>
      </c>
      <c r="H1931" s="32"/>
      <c r="I1931" s="32">
        <f t="shared" si="31"/>
        <v>10000</v>
      </c>
      <c r="J1931" s="33" t="s">
        <v>1120</v>
      </c>
      <c r="K1931" s="33" t="s">
        <v>4441</v>
      </c>
      <c r="L1931" s="33" t="s">
        <v>4438</v>
      </c>
      <c r="M1931" s="33" t="s">
        <v>4439</v>
      </c>
      <c r="N1931" s="30">
        <v>46189</v>
      </c>
      <c r="O1931" s="33" t="s">
        <v>2107</v>
      </c>
      <c r="P1931" s="33" t="s">
        <v>4161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>
      <c r="A1932" s="30">
        <v>46178</v>
      </c>
      <c r="B1932" s="30">
        <v>46178</v>
      </c>
      <c r="C1932" s="31">
        <v>500580579</v>
      </c>
      <c r="D1932" s="30" t="str">
        <f>IFERROR(VLOOKUP(Tabela5[[#This Row],[PREFIXO ]],Tabela4[#All],2,0),"CENTRO DE CUSTO")</f>
        <v>Pátio de Vendas</v>
      </c>
      <c r="E1932" s="33" t="s">
        <v>224</v>
      </c>
      <c r="F1932" s="31">
        <v>4270</v>
      </c>
      <c r="G1932" s="32">
        <v>3420</v>
      </c>
      <c r="H1932" s="32"/>
      <c r="I1932" s="32">
        <f t="shared" si="31"/>
        <v>3420</v>
      </c>
      <c r="J1932" s="33" t="s">
        <v>3657</v>
      </c>
      <c r="K1932" s="33"/>
      <c r="L1932" s="33" t="s">
        <v>3658</v>
      </c>
      <c r="M1932" s="33" t="s">
        <v>4442</v>
      </c>
      <c r="N1932" s="30">
        <v>46183</v>
      </c>
      <c r="O1932" s="33" t="s">
        <v>3660</v>
      </c>
      <c r="P1932" s="33" t="s">
        <v>3873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>
      <c r="A1933" s="30">
        <v>46169</v>
      </c>
      <c r="B1933" s="30">
        <v>46171</v>
      </c>
      <c r="C1933" s="31">
        <v>31521011</v>
      </c>
      <c r="D1933" s="30" t="str">
        <f>IFERROR(VLOOKUP(Tabela5[[#This Row],[PREFIXO ]],Tabela4[#All],2,0),"CENTRO DE CUSTO")</f>
        <v>PULV AUTOPROP JACTO UNIPORT 3030</v>
      </c>
      <c r="E1933" s="33" t="s">
        <v>67</v>
      </c>
      <c r="F1933" s="31">
        <v>181</v>
      </c>
      <c r="G1933" s="32">
        <v>645</v>
      </c>
      <c r="H1933" s="32"/>
      <c r="I1933" s="32">
        <f t="shared" si="31"/>
        <v>645</v>
      </c>
      <c r="J1933" s="33" t="s">
        <v>1262</v>
      </c>
      <c r="K1933" s="33" t="s">
        <v>4443</v>
      </c>
      <c r="L1933" s="33" t="s">
        <v>3777</v>
      </c>
      <c r="M1933" s="33" t="s">
        <v>3778</v>
      </c>
      <c r="N1933" s="30">
        <v>46171</v>
      </c>
      <c r="O1933" s="33" t="s">
        <v>3779</v>
      </c>
      <c r="P1933" s="33" t="s">
        <v>3547</v>
      </c>
      <c r="Q1933" s="39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>
      <c r="A1934" s="30">
        <v>46156</v>
      </c>
      <c r="B1934" s="30">
        <v>46157</v>
      </c>
      <c r="C1934" s="31">
        <v>12070008</v>
      </c>
      <c r="D1934" s="30" t="str">
        <f>IFERROR(VLOOKUP(Tabela5[[#This Row],[PREFIXO ]],Tabela4[#All],2,0),"CENTRO DE CUSTO")</f>
        <v>VAN MICROBUS FORD TRANSIT 410 B AUT</v>
      </c>
      <c r="E1934" s="33" t="s">
        <v>209</v>
      </c>
      <c r="F1934" s="31">
        <v>112896</v>
      </c>
      <c r="G1934" s="32">
        <v>350</v>
      </c>
      <c r="H1934" s="32"/>
      <c r="I1934" s="32">
        <f t="shared" si="31"/>
        <v>350</v>
      </c>
      <c r="J1934" s="33" t="s">
        <v>1082</v>
      </c>
      <c r="K1934" s="33">
        <v>9863510</v>
      </c>
      <c r="L1934" s="33">
        <v>930575</v>
      </c>
      <c r="M1934" s="33" t="s">
        <v>3524</v>
      </c>
      <c r="N1934" s="30" t="s">
        <v>3517</v>
      </c>
      <c r="O1934" s="33"/>
      <c r="P1934" s="33"/>
      <c r="Q1934" s="39" t="str" cm="1">
        <f t="array" ref="Q1934">_xlfn.IFS(
A1934="","",
AND(A1934&lt;&gt;"",B1934=""),"FALTA LANÇAMENTO",
AND(B1934&lt;&gt;"",M1934=""),"FALTA O PEDIDO",
AND(M1934&lt;&gt;"",O1934=""),"FALTA NF",
O1934&lt;&gt;"","CONCLUÍDO")</f>
        <v>FALTA NF</v>
      </c>
      <c r="R1934" s="33"/>
    </row>
    <row r="1935" spans="1:18">
      <c r="A1935" s="30">
        <v>46156</v>
      </c>
      <c r="B1935" s="30">
        <v>46157</v>
      </c>
      <c r="C1935" s="31">
        <v>22030100</v>
      </c>
      <c r="D1935" s="30" t="str">
        <f>IFERROR(VLOOKUP(Tabela5[[#This Row],[PREFIXO ]],Tabela4[#All],2,0),"CENTRO DE CUSTO")</f>
        <v>AUTOMOVEL CHEVROLET SPIN 18L AT PREMIER</v>
      </c>
      <c r="E1935" s="33" t="s">
        <v>209</v>
      </c>
      <c r="F1935" s="31">
        <v>115003</v>
      </c>
      <c r="G1935" s="32">
        <v>140</v>
      </c>
      <c r="H1935" s="32"/>
      <c r="I1935" s="32">
        <f t="shared" si="31"/>
        <v>140</v>
      </c>
      <c r="J1935" s="33" t="s">
        <v>1082</v>
      </c>
      <c r="K1935" s="33">
        <v>9863547</v>
      </c>
      <c r="L1935" s="33">
        <v>930575</v>
      </c>
      <c r="M1935" s="33" t="s">
        <v>3524</v>
      </c>
      <c r="N1935" s="30" t="s">
        <v>3517</v>
      </c>
      <c r="O1935" s="33"/>
      <c r="P1935" s="33"/>
      <c r="Q1935" s="39" t="str" cm="1">
        <f t="array" ref="Q1935">_xlfn.IFS(
A1935="","",
AND(A1935&lt;&gt;"",B1935=""),"FALTA LANÇAMENTO",
AND(B1935&lt;&gt;"",M1935=""),"FALTA O PEDIDO",
AND(M1935&lt;&gt;"",O1935=""),"FALTA NF",
O1935&lt;&gt;"","CONCLUÍDO")</f>
        <v>FALTA NF</v>
      </c>
      <c r="R1935" s="33"/>
    </row>
    <row r="1936" spans="1:18">
      <c r="A1936" s="30">
        <v>46156</v>
      </c>
      <c r="B1936" s="30">
        <v>46157</v>
      </c>
      <c r="C1936" s="31">
        <v>23220006</v>
      </c>
      <c r="D1936" s="30" t="str">
        <f>IFERROR(VLOOKUP(Tabela5[[#This Row],[PREFIXO ]],Tabela4[#All],2,0),"CENTRO DE CUSTO")</f>
        <v>CENTRO DE CUSTO</v>
      </c>
      <c r="E1936" s="33" t="s">
        <v>162</v>
      </c>
      <c r="F1936" s="31">
        <v>75475</v>
      </c>
      <c r="G1936" s="32">
        <v>3802.3</v>
      </c>
      <c r="H1936" s="32"/>
      <c r="I1936" s="32">
        <f t="shared" si="31"/>
        <v>3802.3</v>
      </c>
      <c r="J1936" s="33" t="s">
        <v>1120</v>
      </c>
      <c r="K1936" s="33">
        <v>9861763</v>
      </c>
      <c r="L1936" s="33">
        <v>930177</v>
      </c>
      <c r="M1936" s="33" t="s">
        <v>4444</v>
      </c>
      <c r="N1936" s="30" t="s">
        <v>3517</v>
      </c>
      <c r="O1936" s="33"/>
      <c r="P1936" s="33"/>
      <c r="Q1936" s="39" t="str" cm="1">
        <f t="array" ref="Q1936">_xlfn.IFS(
A1936="","",
AND(A1936&lt;&gt;"",B1936=""),"FALTA LANÇAMENTO",
AND(B1936&lt;&gt;"",M1936=""),"FALTA O PEDIDO",
AND(M1936&lt;&gt;"",O1936=""),"FALTA NF",
O1936&lt;&gt;"","CONCLUÍDO")</f>
        <v>FALTA NF</v>
      </c>
      <c r="R1936" s="33"/>
    </row>
    <row r="1937" spans="1:18">
      <c r="A1937" s="30">
        <v>46160</v>
      </c>
      <c r="B1937" s="30">
        <v>46161</v>
      </c>
      <c r="C1937" s="31">
        <v>22030426</v>
      </c>
      <c r="D1937" s="30" t="str">
        <f>IFERROR(VLOOKUP(Tabela5[[#This Row],[PREFIXO ]],Tabela4[#All],2,0),"CENTRO DE CUSTO")</f>
        <v>AUTOMOVEL FIAT STRADA FREEDOM CD13</v>
      </c>
      <c r="E1937" s="33" t="s">
        <v>209</v>
      </c>
      <c r="F1937" s="31">
        <v>115218</v>
      </c>
      <c r="G1937" s="32">
        <v>640</v>
      </c>
      <c r="H1937" s="32">
        <v>1085</v>
      </c>
      <c r="I1937" s="32">
        <f t="shared" si="31"/>
        <v>1725</v>
      </c>
      <c r="J1937" s="33" t="s">
        <v>1082</v>
      </c>
      <c r="K1937" s="33">
        <v>9863378</v>
      </c>
      <c r="L1937" s="33">
        <v>919536</v>
      </c>
      <c r="M1937" s="33" t="s">
        <v>2677</v>
      </c>
      <c r="N1937" s="30" t="s">
        <v>2678</v>
      </c>
      <c r="O1937" s="33"/>
      <c r="P1937" s="33"/>
      <c r="Q1937" s="39" t="str" cm="1">
        <f t="array" ref="Q1937">_xlfn.IFS(
A1937="","",
AND(A1937&lt;&gt;"",B1937=""),"FALTA LANÇAMENTO",
AND(B1937&lt;&gt;"",M1937=""),"FALTA O PEDIDO",
AND(M1937&lt;&gt;"",O1937=""),"FALTA NF",
O1937&lt;&gt;"","CONCLUÍDO")</f>
        <v>FALTA NF</v>
      </c>
      <c r="R1937" s="33"/>
    </row>
    <row r="1938" spans="1:18">
      <c r="A1938" s="30">
        <v>46160</v>
      </c>
      <c r="B1938" s="30">
        <v>46167</v>
      </c>
      <c r="C1938" s="31">
        <v>500580090</v>
      </c>
      <c r="D1938" s="30" t="str">
        <f>IFERROR(VLOOKUP(Tabela5[[#This Row],[PREFIXO ]],Tabela4[#All],2,0),"CENTRO DE CUSTO")</f>
        <v>Plantadeiras</v>
      </c>
      <c r="E1938" s="33" t="s">
        <v>144</v>
      </c>
      <c r="F1938" s="31">
        <v>876</v>
      </c>
      <c r="G1938" s="32">
        <v>3439.95</v>
      </c>
      <c r="H1938" s="32"/>
      <c r="I1938" s="32">
        <f t="shared" si="31"/>
        <v>3439.95</v>
      </c>
      <c r="J1938" s="33" t="s">
        <v>1196</v>
      </c>
      <c r="K1938" s="33">
        <v>5020794</v>
      </c>
      <c r="L1938" s="33">
        <v>933116</v>
      </c>
      <c r="M1938" s="33" t="s">
        <v>4445</v>
      </c>
      <c r="N1938" s="30" t="s">
        <v>3604</v>
      </c>
      <c r="O1938" s="33"/>
      <c r="P1938" s="33"/>
      <c r="Q1938" s="39" t="str" cm="1">
        <f t="array" ref="Q1938">_xlfn.IFS(
A1938="","",
AND(A1938&lt;&gt;"",B1938=""),"FALTA LANÇAMENTO",
AND(B1938&lt;&gt;"",M1938=""),"FALTA O PEDIDO",
AND(M1938&lt;&gt;"",O1938=""),"FALTA NF",
O1938&lt;&gt;"","CONCLUÍDO")</f>
        <v>FALTA NF</v>
      </c>
      <c r="R1938" s="33"/>
    </row>
    <row r="1939" spans="1:18">
      <c r="A1939" s="30">
        <v>46156</v>
      </c>
      <c r="B1939" s="30">
        <v>46167</v>
      </c>
      <c r="C1939" s="31">
        <v>22030122</v>
      </c>
      <c r="D1939" s="30" t="str">
        <f>IFERROR(VLOOKUP(Tabela5[[#This Row],[PREFIXO ]],Tabela4[#All],2,0),"CENTRO DE CUSTO")</f>
        <v>AUTOMOVEL FIAT FIORINO ENDURANCE</v>
      </c>
      <c r="E1939" s="33" t="s">
        <v>209</v>
      </c>
      <c r="F1939" s="31">
        <v>115775</v>
      </c>
      <c r="G1939" s="32">
        <v>460</v>
      </c>
      <c r="H1939" s="32">
        <v>100</v>
      </c>
      <c r="I1939" s="32">
        <f t="shared" si="31"/>
        <v>560</v>
      </c>
      <c r="J1939" s="33" t="s">
        <v>1082</v>
      </c>
      <c r="K1939" s="33">
        <v>9863377</v>
      </c>
      <c r="L1939" s="33">
        <v>932417</v>
      </c>
      <c r="M1939" s="33" t="s">
        <v>4446</v>
      </c>
      <c r="N1939" s="30" t="s">
        <v>3639</v>
      </c>
      <c r="O1939" s="33"/>
      <c r="P1939" s="33"/>
      <c r="Q1939" s="39" t="str" cm="1">
        <f t="array" ref="Q1939">_xlfn.IFS(
A1939="","",
AND(A1939&lt;&gt;"",B1939=""),"FALTA LANÇAMENTO",
AND(B1939&lt;&gt;"",M1939=""),"FALTA O PEDIDO",
AND(M1939&lt;&gt;"",O1939=""),"FALTA NF",
O1939&lt;&gt;"","CONCLUÍDO")</f>
        <v>FALTA NF</v>
      </c>
      <c r="R1939" s="33"/>
    </row>
    <row r="1940" spans="1:18">
      <c r="A1940" s="30">
        <v>46160</v>
      </c>
      <c r="B1940" s="30">
        <v>46169</v>
      </c>
      <c r="C1940" s="31">
        <v>61521043</v>
      </c>
      <c r="D1940" s="30" t="str">
        <f>IFERROR(VLOOKUP(Tabela5[[#This Row],[PREFIXO ]],Tabela4[#All],2,0),"CENTRO DE CUSTO")</f>
        <v>ONIB RODOVIÁRIO MASCARELLO GRAN MIDI</v>
      </c>
      <c r="E1940" s="33" t="s">
        <v>121</v>
      </c>
      <c r="F1940" s="31">
        <v>74</v>
      </c>
      <c r="G1940" s="32">
        <v>2527</v>
      </c>
      <c r="H1940" s="32">
        <v>3083.05</v>
      </c>
      <c r="I1940" s="32">
        <f t="shared" si="31"/>
        <v>5610.05</v>
      </c>
      <c r="J1940" s="33" t="s">
        <v>1082</v>
      </c>
      <c r="K1940" s="33">
        <v>9867424</v>
      </c>
      <c r="L1940" s="33" t="s">
        <v>4447</v>
      </c>
      <c r="M1940" s="33" t="s">
        <v>4448</v>
      </c>
      <c r="N1940" s="30">
        <v>46198</v>
      </c>
      <c r="O1940" s="33"/>
      <c r="P1940" s="33"/>
      <c r="Q1940" s="39" t="str" cm="1">
        <f t="array" ref="Q1940">_xlfn.IFS(
A1940="","",
AND(A1940&lt;&gt;"",B1940=""),"FALTA LANÇAMENTO",
AND(B1940&lt;&gt;"",M1940=""),"FALTA O PEDIDO",
AND(M1940&lt;&gt;"",O1940=""),"FALTA NF",
O1940&lt;&gt;"","CONCLUÍDO")</f>
        <v>FALTA NF</v>
      </c>
      <c r="R1940" s="33"/>
    </row>
    <row r="1941" spans="1:18">
      <c r="A1941" s="30">
        <v>46175</v>
      </c>
      <c r="B1941" s="30">
        <v>46184</v>
      </c>
      <c r="C1941" s="31">
        <v>61521083</v>
      </c>
      <c r="D1941" s="30" t="str">
        <f>IFERROR(VLOOKUP(Tabela5[[#This Row],[PREFIXO ]],Tabela4[#All],2,0),"CENTRO DE CUSTO")</f>
        <v>CAM COMBOIO VOLVO VM 330</v>
      </c>
      <c r="E1941" s="33" t="s">
        <v>24</v>
      </c>
      <c r="F1941" s="31" t="s">
        <v>4449</v>
      </c>
      <c r="G1941" s="32">
        <v>6791.4</v>
      </c>
      <c r="H1941" s="32">
        <v>4256.63</v>
      </c>
      <c r="I1941" s="32">
        <f t="shared" si="31"/>
        <v>11048.029999999999</v>
      </c>
      <c r="J1941" s="33" t="s">
        <v>1082</v>
      </c>
      <c r="K1941" s="33" t="s">
        <v>4450</v>
      </c>
      <c r="L1941" s="33" t="s">
        <v>4451</v>
      </c>
      <c r="M1941" s="33" t="s">
        <v>4452</v>
      </c>
      <c r="N1941" s="30">
        <v>46211</v>
      </c>
      <c r="O1941" s="33" t="s">
        <v>4453</v>
      </c>
      <c r="P1941" s="33" t="s">
        <v>4454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>
      <c r="A1942" s="30">
        <v>46170</v>
      </c>
      <c r="B1942" s="30">
        <v>46171</v>
      </c>
      <c r="C1942" s="31">
        <v>23220003</v>
      </c>
      <c r="D1942" s="30" t="str">
        <f>IFERROR(VLOOKUP(Tabela5[[#This Row],[PREFIXO ]],Tabela4[#All],2,0),"CENTRO DE CUSTO")</f>
        <v>COLHED ALGODÃO JOHN DEERE CP 770</v>
      </c>
      <c r="E1942" s="33" t="s">
        <v>162</v>
      </c>
      <c r="F1942" s="31">
        <v>75474</v>
      </c>
      <c r="G1942" s="32">
        <v>3802.3</v>
      </c>
      <c r="H1942" s="32"/>
      <c r="I1942" s="32">
        <f t="shared" si="31"/>
        <v>3802.3</v>
      </c>
      <c r="J1942" s="33" t="s">
        <v>1120</v>
      </c>
      <c r="K1942" s="33" t="s">
        <v>4455</v>
      </c>
      <c r="L1942" s="33" t="s">
        <v>4456</v>
      </c>
      <c r="M1942" s="33" t="s">
        <v>4457</v>
      </c>
      <c r="N1942" s="30">
        <v>46171</v>
      </c>
      <c r="O1942" s="33"/>
      <c r="P1942" s="33"/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FALTA NF</v>
      </c>
      <c r="R1942" s="33"/>
    </row>
    <row r="1943" spans="1:18">
      <c r="A1943" s="30">
        <v>46175</v>
      </c>
      <c r="B1943" s="30">
        <v>46181</v>
      </c>
      <c r="C1943" s="31">
        <v>61521041</v>
      </c>
      <c r="D1943" s="30" t="str">
        <f>IFERROR(VLOOKUP(Tabela5[[#This Row],[PREFIXO ]],Tabela4[#All],2,0),"CENTRO DE CUSTO")</f>
        <v>ONIB RODOVIÁRIO MASCARELLO GRAN MIDI</v>
      </c>
      <c r="E1943" s="33" t="s">
        <v>24</v>
      </c>
      <c r="F1943" s="31" t="s">
        <v>4458</v>
      </c>
      <c r="G1943" s="32">
        <v>1980</v>
      </c>
      <c r="H1943" s="32">
        <v>58.5</v>
      </c>
      <c r="I1943" s="32">
        <f t="shared" si="31"/>
        <v>2038.5</v>
      </c>
      <c r="J1943" s="33" t="s">
        <v>1082</v>
      </c>
      <c r="K1943" s="33" t="s">
        <v>4459</v>
      </c>
      <c r="L1943" s="33" t="s">
        <v>4460</v>
      </c>
      <c r="M1943" s="33" t="s">
        <v>4461</v>
      </c>
      <c r="N1943" s="30">
        <v>46182</v>
      </c>
      <c r="O1943" s="33"/>
      <c r="P1943" s="33"/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FALTA NF</v>
      </c>
      <c r="R1943" s="33"/>
    </row>
    <row r="1944" spans="1:18">
      <c r="A1944" s="30">
        <v>46175</v>
      </c>
      <c r="B1944" s="30">
        <v>46181</v>
      </c>
      <c r="C1944" s="31">
        <v>16170007</v>
      </c>
      <c r="D1944" s="30" t="str">
        <f>IFERROR(VLOOKUP(Tabela5[[#This Row],[PREFIXO ]],Tabela4[#All],2,0),"CENTRO DE CUSTO")</f>
        <v>SR TANQUE RODOTECNIC SRT TQ2 INOX</v>
      </c>
      <c r="E1944" s="33" t="s">
        <v>29</v>
      </c>
      <c r="F1944" s="31">
        <v>55652</v>
      </c>
      <c r="G1944" s="32">
        <v>80</v>
      </c>
      <c r="H1944" s="32">
        <v>835.66</v>
      </c>
      <c r="I1944" s="32">
        <f t="shared" si="31"/>
        <v>915.66</v>
      </c>
      <c r="J1944" s="33" t="s">
        <v>1082</v>
      </c>
      <c r="K1944" s="33" t="s">
        <v>4462</v>
      </c>
      <c r="L1944" s="33" t="s">
        <v>4463</v>
      </c>
      <c r="M1944" s="33" t="s">
        <v>4464</v>
      </c>
      <c r="N1944" s="30">
        <v>46182</v>
      </c>
      <c r="O1944" s="33"/>
      <c r="P1944" s="33"/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FALTA NF</v>
      </c>
      <c r="R1944" s="33"/>
    </row>
    <row r="1945" spans="1:18">
      <c r="A1945" s="30">
        <v>46182</v>
      </c>
      <c r="B1945" s="30">
        <v>46184</v>
      </c>
      <c r="C1945" s="31" t="s">
        <v>4465</v>
      </c>
      <c r="D1945" s="30" t="str">
        <f>IFERROR(VLOOKUP(Tabela5[[#This Row],[PREFIXO ]],Tabela4[#All],2,0),"CENTRO DE CUSTO")</f>
        <v>CENTRO DE CUSTO</v>
      </c>
      <c r="E1945" s="33" t="s">
        <v>328</v>
      </c>
      <c r="F1945" s="31">
        <v>1042</v>
      </c>
      <c r="G1945" s="32">
        <v>50</v>
      </c>
      <c r="H1945" s="32">
        <v>1082.5</v>
      </c>
      <c r="I1945" s="32">
        <f t="shared" si="31"/>
        <v>1132.5</v>
      </c>
      <c r="J1945" s="33" t="s">
        <v>1196</v>
      </c>
      <c r="K1945" s="33" t="s">
        <v>4466</v>
      </c>
      <c r="L1945" s="33" t="s">
        <v>4467</v>
      </c>
      <c r="M1945" s="33" t="s">
        <v>4468</v>
      </c>
      <c r="N1945" s="30">
        <v>46185</v>
      </c>
      <c r="O1945" s="33"/>
      <c r="P1945" s="33"/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FALTA NF</v>
      </c>
      <c r="R1945" s="33"/>
    </row>
    <row r="1946" spans="1:18">
      <c r="A1946" s="30">
        <v>46184</v>
      </c>
      <c r="B1946" s="30">
        <v>46188</v>
      </c>
      <c r="C1946" s="31">
        <v>11040015</v>
      </c>
      <c r="D1946" s="30" t="str">
        <f>IFERROR(VLOOKUP(Tabela5[[#This Row],[PREFIXO ]],Tabela4[#All],2,0),"CENTRO DE CUSTO")</f>
        <v>CAV MEC EXT PES SCANIA R500</v>
      </c>
      <c r="E1946" s="33" t="s">
        <v>366</v>
      </c>
      <c r="F1946" s="43">
        <v>197115</v>
      </c>
      <c r="G1946" s="32">
        <v>400</v>
      </c>
      <c r="H1946" s="32"/>
      <c r="I1946" s="32">
        <f t="shared" si="31"/>
        <v>400</v>
      </c>
      <c r="J1946" s="33" t="s">
        <v>1196</v>
      </c>
      <c r="K1946" s="33" t="s">
        <v>4469</v>
      </c>
      <c r="L1946" s="33" t="s">
        <v>4470</v>
      </c>
      <c r="M1946" s="33" t="s">
        <v>4471</v>
      </c>
      <c r="N1946" s="30">
        <v>46191</v>
      </c>
      <c r="O1946" s="33"/>
      <c r="P1946" s="33"/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FALTA NF</v>
      </c>
      <c r="R1946" s="33"/>
    </row>
    <row r="1947" spans="1:18">
      <c r="A1947" s="30">
        <v>46163</v>
      </c>
      <c r="B1947" s="30">
        <v>46189</v>
      </c>
      <c r="C1947" s="31">
        <v>13150004</v>
      </c>
      <c r="D1947" s="30" t="str">
        <f>IFERROR(VLOOKUP(Tabela5[[#This Row],[PREFIXO ]],Tabela4[#All],2,0),"CENTRO DE CUSTO")</f>
        <v>ADUB AUTOPROP JACTO UNIPORT 8030NPK</v>
      </c>
      <c r="E1947" s="33" t="s">
        <v>66</v>
      </c>
      <c r="F1947" s="31" t="s">
        <v>4472</v>
      </c>
      <c r="G1947" s="32">
        <v>4000</v>
      </c>
      <c r="H1947" s="32">
        <v>41663.65</v>
      </c>
      <c r="I1947" s="32">
        <f t="shared" si="31"/>
        <v>45663.65</v>
      </c>
      <c r="J1947" s="33" t="s">
        <v>1077</v>
      </c>
      <c r="K1947" s="33" t="s">
        <v>4473</v>
      </c>
      <c r="L1947" s="33" t="s">
        <v>4474</v>
      </c>
      <c r="M1947" s="33" t="s">
        <v>4475</v>
      </c>
      <c r="N1947" s="30">
        <v>46197</v>
      </c>
      <c r="O1947" s="33"/>
      <c r="P1947" s="33"/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FALTA NF</v>
      </c>
      <c r="R1947" s="33"/>
    </row>
    <row r="1948" spans="1:18">
      <c r="A1948" s="30">
        <v>46190</v>
      </c>
      <c r="B1948" s="30">
        <v>46191</v>
      </c>
      <c r="C1948" s="31">
        <v>51521064</v>
      </c>
      <c r="D1948" s="30" t="str">
        <f>IFERROR(VLOOKUP(Tabela5[[#This Row],[PREFIXO ]],Tabela4[#All],2,0),"CENTRO DE CUSTO")</f>
        <v>COLHED ALGODÃO JOHN DEERE CP 690</v>
      </c>
      <c r="E1948" s="33" t="s">
        <v>71</v>
      </c>
      <c r="F1948" s="31">
        <v>7789</v>
      </c>
      <c r="G1948" s="32">
        <v>7990.37</v>
      </c>
      <c r="H1948" s="32">
        <v>8796.36</v>
      </c>
      <c r="I1948" s="32">
        <f t="shared" si="31"/>
        <v>16786.73</v>
      </c>
      <c r="J1948" s="33" t="s">
        <v>1120</v>
      </c>
      <c r="K1948" s="33" t="s">
        <v>4476</v>
      </c>
      <c r="L1948" s="33" t="s">
        <v>4477</v>
      </c>
      <c r="M1948" s="33" t="s">
        <v>4478</v>
      </c>
      <c r="N1948" s="30">
        <v>46191</v>
      </c>
      <c r="O1948" s="33"/>
      <c r="P1948" s="33"/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FALTA NF</v>
      </c>
      <c r="R1948" s="33"/>
    </row>
    <row r="1949" spans="1:18">
      <c r="A1949" s="30">
        <v>46188</v>
      </c>
      <c r="B1949" s="30">
        <v>46192</v>
      </c>
      <c r="C1949" s="31">
        <v>51521053</v>
      </c>
      <c r="D1949" s="30" t="str">
        <f>IFERROR(VLOOKUP(Tabela5[[#This Row],[PREFIXO ]],Tabela4[#All],2,0),"CENTRO DE CUSTO")</f>
        <v>COLHED ALGODÃO JOHN DEERE CP 690</v>
      </c>
      <c r="E1949" s="33" t="s">
        <v>17</v>
      </c>
      <c r="F1949" s="31">
        <v>44438</v>
      </c>
      <c r="G1949" s="32">
        <v>2000</v>
      </c>
      <c r="H1949" s="32">
        <v>2314.2199999999998</v>
      </c>
      <c r="I1949" s="32">
        <f t="shared" si="31"/>
        <v>4314.2199999999993</v>
      </c>
      <c r="J1949" s="33" t="s">
        <v>1120</v>
      </c>
      <c r="K1949" s="33" t="s">
        <v>4479</v>
      </c>
      <c r="L1949" s="33" t="s">
        <v>4480</v>
      </c>
      <c r="M1949" s="33" t="s">
        <v>4481</v>
      </c>
      <c r="N1949" s="30">
        <v>46195</v>
      </c>
      <c r="O1949" s="33" t="s">
        <v>4482</v>
      </c>
      <c r="P1949" s="33" t="s">
        <v>3873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>
      <c r="A1950" s="30">
        <v>46184</v>
      </c>
      <c r="B1950" s="30">
        <v>46192</v>
      </c>
      <c r="C1950" s="31">
        <v>81726738</v>
      </c>
      <c r="D1950" s="30" t="str">
        <f>IFERROR(VLOOKUP(Tabela5[[#This Row],[PREFIXO ]],Tabela4[#All],2,0),"CENTRO DE CUSTO")</f>
        <v>CENTRO DE CUSTO</v>
      </c>
      <c r="E1950" s="33" t="s">
        <v>162</v>
      </c>
      <c r="F1950" s="31">
        <v>77202</v>
      </c>
      <c r="G1950" s="32">
        <v>10744.4</v>
      </c>
      <c r="H1950" s="32"/>
      <c r="I1950" s="32">
        <f t="shared" si="31"/>
        <v>10744.4</v>
      </c>
      <c r="J1950" s="33" t="s">
        <v>1120</v>
      </c>
      <c r="K1950" s="33" t="s">
        <v>4483</v>
      </c>
      <c r="L1950" s="33" t="s">
        <v>4484</v>
      </c>
      <c r="M1950" s="33">
        <v>41893144</v>
      </c>
      <c r="N1950" s="30">
        <v>46195</v>
      </c>
      <c r="O1950" s="33"/>
      <c r="P1950" s="33"/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FALTA NF</v>
      </c>
      <c r="R1950" s="33"/>
    </row>
    <row r="1951" spans="1:18">
      <c r="A1951" s="30">
        <v>46184</v>
      </c>
      <c r="B1951" s="30">
        <v>46192</v>
      </c>
      <c r="C1951" s="31">
        <v>51521067</v>
      </c>
      <c r="D1951" s="30" t="str">
        <f>IFERROR(VLOOKUP(Tabela5[[#This Row],[PREFIXO ]],Tabela4[#All],2,0),"CENTRO DE CUSTO")</f>
        <v>COLHED ALGODÃO JOHN DEERE CP 690</v>
      </c>
      <c r="E1951" s="33" t="s">
        <v>17</v>
      </c>
      <c r="F1951" s="31">
        <v>44440</v>
      </c>
      <c r="G1951" s="32">
        <v>7144.53</v>
      </c>
      <c r="H1951" s="32">
        <v>51896.85</v>
      </c>
      <c r="I1951" s="32">
        <f t="shared" si="31"/>
        <v>59041.38</v>
      </c>
      <c r="J1951" s="33" t="s">
        <v>1120</v>
      </c>
      <c r="K1951" s="33" t="s">
        <v>4485</v>
      </c>
      <c r="L1951" s="33" t="s">
        <v>4486</v>
      </c>
      <c r="M1951" s="33" t="s">
        <v>4487</v>
      </c>
      <c r="N1951" s="30">
        <v>46195</v>
      </c>
      <c r="O1951" s="33"/>
      <c r="P1951" s="33"/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FALTA NF</v>
      </c>
      <c r="R1951" s="33"/>
    </row>
    <row r="1952" spans="1:18">
      <c r="A1952" s="30">
        <v>46191</v>
      </c>
      <c r="B1952" s="30">
        <v>46204</v>
      </c>
      <c r="C1952" s="31" t="s">
        <v>4488</v>
      </c>
      <c r="D1952" s="30" t="str">
        <f>IFERROR(VLOOKUP(Tabela5[[#This Row],[PREFIXO ]],Tabela4[#All],2,0),"CENTRO DE CUSTO")</f>
        <v>CENTRO DE CUSTO</v>
      </c>
      <c r="E1952" s="33" t="s">
        <v>235</v>
      </c>
      <c r="F1952" s="31">
        <v>2748</v>
      </c>
      <c r="G1952" s="32">
        <v>4950</v>
      </c>
      <c r="H1952" s="32">
        <v>5130</v>
      </c>
      <c r="I1952" s="32">
        <f t="shared" si="31"/>
        <v>10080</v>
      </c>
      <c r="J1952" s="33" t="s">
        <v>1120</v>
      </c>
      <c r="K1952" s="33" t="s">
        <v>4489</v>
      </c>
      <c r="L1952" s="33" t="s">
        <v>4490</v>
      </c>
      <c r="M1952" s="33" t="s">
        <v>4491</v>
      </c>
      <c r="N1952" s="30">
        <v>46205</v>
      </c>
      <c r="O1952" s="33" t="s">
        <v>4492</v>
      </c>
      <c r="P1952" s="33" t="s">
        <v>4183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2752</v>
      </c>
      <c r="G1953" s="32">
        <v>350</v>
      </c>
      <c r="H1953" s="32">
        <v>6650</v>
      </c>
      <c r="I1953" s="32">
        <f t="shared" si="31"/>
        <v>7000</v>
      </c>
      <c r="J1953" s="33" t="s">
        <v>1120</v>
      </c>
      <c r="K1953" s="33" t="s">
        <v>4493</v>
      </c>
      <c r="L1953" s="33" t="s">
        <v>4494</v>
      </c>
      <c r="M1953" s="33" t="s">
        <v>4495</v>
      </c>
      <c r="N1953" s="30">
        <v>46205</v>
      </c>
      <c r="O1953" s="33" t="s">
        <v>1636</v>
      </c>
      <c r="P1953" s="33" t="s">
        <v>4183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>
      <c r="A1954" s="30">
        <v>46191</v>
      </c>
      <c r="B1954" s="30">
        <v>46204</v>
      </c>
      <c r="C1954" s="31">
        <v>51521085</v>
      </c>
      <c r="D1954" s="30" t="str">
        <f>IFERROR(VLOOKUP(Tabela5[[#This Row],[PREFIXO ]],Tabela4[#All],2,0),"CENTRO DE CUSTO")</f>
        <v>COLHEIT DE GRÃOS N.HOLLAND CR 8.90</v>
      </c>
      <c r="E1954" s="33" t="s">
        <v>235</v>
      </c>
      <c r="F1954" s="31">
        <v>2737</v>
      </c>
      <c r="G1954" s="32">
        <v>27800</v>
      </c>
      <c r="H1954" s="32">
        <v>770</v>
      </c>
      <c r="I1954" s="32">
        <f t="shared" si="31"/>
        <v>28570</v>
      </c>
      <c r="J1954" s="33" t="s">
        <v>1120</v>
      </c>
      <c r="K1954" s="33" t="s">
        <v>4496</v>
      </c>
      <c r="L1954" s="33" t="s">
        <v>4497</v>
      </c>
      <c r="M1954" s="17" t="s">
        <v>4498</v>
      </c>
      <c r="N1954" s="30">
        <v>46206</v>
      </c>
      <c r="O1954" s="33" t="s">
        <v>4499</v>
      </c>
      <c r="P1954" s="33" t="s">
        <v>3590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>
      <c r="A1955" s="30">
        <v>46195</v>
      </c>
      <c r="B1955" s="30">
        <v>46195</v>
      </c>
      <c r="C1955" s="31" t="s">
        <v>1092</v>
      </c>
      <c r="D1955" s="30" t="str">
        <f>IFERROR(VLOOKUP(Tabela5[[#This Row],[PREFIXO ]],Tabela4[#All],2,0),"CENTRO DE CUSTO")</f>
        <v>Equipamento</v>
      </c>
      <c r="E1955" s="33" t="s">
        <v>224</v>
      </c>
      <c r="F1955" s="31">
        <v>3028</v>
      </c>
      <c r="G1955" s="32">
        <v>2090</v>
      </c>
      <c r="H1955" s="32"/>
      <c r="I1955" s="32">
        <f t="shared" si="31"/>
        <v>2090</v>
      </c>
      <c r="J1955" s="33" t="s">
        <v>1248</v>
      </c>
      <c r="K1955" s="33" t="s">
        <v>1092</v>
      </c>
      <c r="L1955" s="33" t="s">
        <v>4500</v>
      </c>
      <c r="M1955" s="33" t="s">
        <v>4501</v>
      </c>
      <c r="N1955" s="30">
        <v>46198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>
      <c r="A1956" s="30">
        <v>46192</v>
      </c>
      <c r="B1956" s="30">
        <v>46211</v>
      </c>
      <c r="C1956" s="31">
        <v>23220008</v>
      </c>
      <c r="D1956" s="30" t="str">
        <f>IFERROR(VLOOKUP(Tabela5[[#This Row],[PREFIXO ]],Tabela4[#All],2,0),"CENTRO DE CUSTO")</f>
        <v>CENTRO DE CUSTO</v>
      </c>
      <c r="E1956" s="33" t="s">
        <v>162</v>
      </c>
      <c r="F1956" s="31">
        <v>30438</v>
      </c>
      <c r="G1956" s="32">
        <v>4700</v>
      </c>
      <c r="H1956" s="32"/>
      <c r="I1956" s="32">
        <f t="shared" si="31"/>
        <v>4700</v>
      </c>
      <c r="J1956" s="33" t="s">
        <v>1120</v>
      </c>
      <c r="K1956" s="33" t="s">
        <v>4502</v>
      </c>
      <c r="L1956" s="33" t="s">
        <v>4503</v>
      </c>
      <c r="M1956" s="33" t="s">
        <v>4504</v>
      </c>
      <c r="N1956" s="39">
        <v>46213</v>
      </c>
      <c r="O1956" s="33"/>
      <c r="P1956" s="33"/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FALTA NF</v>
      </c>
      <c r="R1956" s="33"/>
    </row>
    <row r="1957" spans="1:18">
      <c r="A1957" s="30">
        <v>46195</v>
      </c>
      <c r="B1957" s="30">
        <v>46206</v>
      </c>
      <c r="C1957" s="31">
        <v>500580349</v>
      </c>
      <c r="D1957" s="30" t="str">
        <f>IFERROR(VLOOKUP(Tabela5[[#This Row],[PREFIXO ]],Tabela4[#All],2,0),"CENTRO DE CUSTO")</f>
        <v>ADUBADORES AUTOPROPE</v>
      </c>
      <c r="E1957" s="33" t="s">
        <v>51</v>
      </c>
      <c r="F1957" s="31">
        <v>345</v>
      </c>
      <c r="G1957" s="32">
        <v>30000</v>
      </c>
      <c r="H1957" s="32"/>
      <c r="I1957" s="32">
        <f t="shared" si="31"/>
        <v>30000</v>
      </c>
      <c r="J1957" s="33" t="s">
        <v>1262</v>
      </c>
      <c r="K1957" s="33" t="s">
        <v>4505</v>
      </c>
      <c r="L1957" s="33" t="s">
        <v>4506</v>
      </c>
      <c r="M1957" s="33" t="s">
        <v>4507</v>
      </c>
      <c r="N1957" s="30">
        <v>46206</v>
      </c>
      <c r="O1957" s="33" t="s">
        <v>1303</v>
      </c>
      <c r="P1957" s="33" t="s">
        <v>3590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>
      <c r="A1958" s="30">
        <v>46188</v>
      </c>
      <c r="B1958" s="30">
        <v>46195</v>
      </c>
      <c r="C1958" s="31">
        <v>12060002</v>
      </c>
      <c r="D1958" s="30" t="str">
        <f>IFERROR(VLOOKUP(Tabela5[[#This Row],[PREFIXO ]],Tabela4[#All],2,0),"CENTRO DE CUSTO")</f>
        <v>ONIB RODOVIÁRIO MARCOPOLO NEOBUS MEGA</v>
      </c>
      <c r="E1958" s="33" t="s">
        <v>250</v>
      </c>
      <c r="F1958" s="31">
        <v>40827</v>
      </c>
      <c r="G1958" s="32">
        <v>779.5</v>
      </c>
      <c r="H1958" s="32">
        <v>19210.5</v>
      </c>
      <c r="I1958" s="32">
        <f t="shared" si="31"/>
        <v>19990</v>
      </c>
      <c r="J1958" s="33" t="s">
        <v>1196</v>
      </c>
      <c r="K1958" s="33" t="s">
        <v>4508</v>
      </c>
      <c r="L1958" s="33" t="s">
        <v>4509</v>
      </c>
      <c r="M1958" s="33">
        <v>41896472</v>
      </c>
      <c r="N1958" s="30">
        <v>46198</v>
      </c>
      <c r="O1958" s="33" t="s">
        <v>4510</v>
      </c>
      <c r="P1958" s="33" t="s">
        <v>4183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>
      <c r="A1959" s="30">
        <v>46188</v>
      </c>
      <c r="B1959" s="30">
        <v>46195</v>
      </c>
      <c r="C1959" s="31">
        <v>41521071</v>
      </c>
      <c r="D1959" s="30" t="str">
        <f>IFERROR(VLOOKUP(Tabela5[[#This Row],[PREFIXO ]],Tabela4[#All],2,0),"CENTRO DE CUSTO")</f>
        <v>MICROONIBUS SPRINTER 417 CDI K42B</v>
      </c>
      <c r="E1959" s="33" t="s">
        <v>110</v>
      </c>
      <c r="F1959" s="31">
        <v>8869</v>
      </c>
      <c r="G1959" s="32">
        <v>2047</v>
      </c>
      <c r="H1959" s="32">
        <v>2097.9899999999998</v>
      </c>
      <c r="I1959" s="32">
        <f t="shared" si="31"/>
        <v>4144.99</v>
      </c>
      <c r="J1959" s="33" t="s">
        <v>1196</v>
      </c>
      <c r="K1959" s="33" t="s">
        <v>4511</v>
      </c>
      <c r="L1959" s="33" t="s">
        <v>4512</v>
      </c>
      <c r="M1959" s="33" t="s">
        <v>4513</v>
      </c>
      <c r="N1959" s="30">
        <v>46196</v>
      </c>
      <c r="O1959" s="33" t="s">
        <v>4514</v>
      </c>
      <c r="P1959" s="33" t="s">
        <v>3594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>
      <c r="A1960" s="16">
        <v>46188</v>
      </c>
      <c r="B1960" s="16">
        <v>46195</v>
      </c>
      <c r="C1960" s="21">
        <v>61521049</v>
      </c>
      <c r="D1960" s="16" t="str">
        <f>IFERROR(VLOOKUP(Tabela5[[#This Row],[PREFIXO ]],Tabela4[#All],2,0),"CENTRO DE CUSTO")</f>
        <v>PA CARREGADEIRA JOHN DEERE 524 K II</v>
      </c>
      <c r="E1960" s="18" t="s">
        <v>68</v>
      </c>
      <c r="F1960" s="21">
        <v>2329</v>
      </c>
      <c r="G1960" s="22">
        <v>28200</v>
      </c>
      <c r="H1960" s="22"/>
      <c r="I1960" s="22">
        <f t="shared" si="31"/>
        <v>28200</v>
      </c>
      <c r="J1960" s="18" t="s">
        <v>1077</v>
      </c>
      <c r="K1960" s="18" t="s">
        <v>4515</v>
      </c>
      <c r="L1960" s="18" t="s">
        <v>4516</v>
      </c>
      <c r="M1960" s="18" t="s">
        <v>4517</v>
      </c>
      <c r="N1960" s="30">
        <v>46196</v>
      </c>
      <c r="O1960" s="18" t="s">
        <v>4518</v>
      </c>
      <c r="P1960" s="18" t="s">
        <v>3594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>
      <c r="A1961" s="16">
        <v>46182</v>
      </c>
      <c r="B1961" s="16">
        <v>46195</v>
      </c>
      <c r="C1961" s="21">
        <v>500580325</v>
      </c>
      <c r="D1961" s="16" t="str">
        <f>IFERROR(VLOOKUP(Tabela5[[#This Row],[PREFIXO ]],Tabela4[#All],2,0),"CENTRO DE CUSTO")</f>
        <v>Colheitad. Alg Auto</v>
      </c>
      <c r="E1961" s="18" t="s">
        <v>144</v>
      </c>
      <c r="F1961" s="21">
        <v>932</v>
      </c>
      <c r="G1961" s="22">
        <v>16000</v>
      </c>
      <c r="H1961" s="22"/>
      <c r="I1961" s="22">
        <f t="shared" si="31"/>
        <v>16000</v>
      </c>
      <c r="J1961" s="18" t="s">
        <v>1110</v>
      </c>
      <c r="K1961" s="18" t="s">
        <v>4519</v>
      </c>
      <c r="L1961" s="18" t="s">
        <v>4520</v>
      </c>
      <c r="M1961" s="18" t="s">
        <v>4521</v>
      </c>
      <c r="N1961" s="41">
        <v>46196</v>
      </c>
      <c r="O1961" s="18"/>
      <c r="P1961" s="18"/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FALTA NF</v>
      </c>
      <c r="R1961" s="18"/>
    </row>
    <row r="1962" spans="1:18">
      <c r="A1962" s="16">
        <v>46196</v>
      </c>
      <c r="B1962" s="16">
        <v>46196</v>
      </c>
      <c r="C1962" s="21">
        <v>12070012</v>
      </c>
      <c r="D1962" s="16" t="str">
        <f>IFERROR(VLOOKUP(Tabela5[[#This Row],[PREFIXO ]],Tabela4[#All],2,0),"CENTRO DE CUSTO")</f>
        <v>CENTRO DE CUSTO</v>
      </c>
      <c r="E1962" s="18" t="s">
        <v>90</v>
      </c>
      <c r="F1962" s="21">
        <v>7552</v>
      </c>
      <c r="G1962" s="22">
        <v>420</v>
      </c>
      <c r="H1962" s="22"/>
      <c r="I1962" s="22">
        <f t="shared" si="31"/>
        <v>420</v>
      </c>
      <c r="J1962" s="18" t="s">
        <v>1082</v>
      </c>
      <c r="K1962" s="18" t="s">
        <v>4522</v>
      </c>
      <c r="L1962" s="18" t="s">
        <v>4523</v>
      </c>
      <c r="M1962" s="18" t="s">
        <v>4524</v>
      </c>
      <c r="N1962" s="41">
        <v>46165</v>
      </c>
      <c r="O1962" s="18" t="s">
        <v>4525</v>
      </c>
      <c r="P1962" s="18" t="s">
        <v>3655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>
      <c r="A1963" s="16">
        <v>46178</v>
      </c>
      <c r="B1963" s="16">
        <v>46204</v>
      </c>
      <c r="C1963" s="21">
        <v>51521051</v>
      </c>
      <c r="D1963" s="16" t="str">
        <f>IFERROR(VLOOKUP(Tabela5[[#This Row],[PREFIXO ]],Tabela4[#All],2,0),"CENTRO DE CUSTO")</f>
        <v>COLHED ALGODÃO JOHN DEERE CP 690</v>
      </c>
      <c r="E1963" s="18" t="s">
        <v>96</v>
      </c>
      <c r="F1963" s="21" t="s">
        <v>4526</v>
      </c>
      <c r="G1963" s="22">
        <v>2403</v>
      </c>
      <c r="H1963" s="22">
        <v>3755.89</v>
      </c>
      <c r="I1963" s="22">
        <f t="shared" si="31"/>
        <v>6158.8899999999994</v>
      </c>
      <c r="J1963" s="18" t="s">
        <v>1110</v>
      </c>
      <c r="K1963" s="18" t="s">
        <v>4527</v>
      </c>
      <c r="L1963" s="18" t="s">
        <v>4528</v>
      </c>
      <c r="M1963" s="18" t="s">
        <v>4529</v>
      </c>
      <c r="N1963" s="41">
        <v>46205</v>
      </c>
      <c r="O1963" s="18" t="s">
        <v>4530</v>
      </c>
      <c r="P1963" s="18" t="s">
        <v>3556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>
      <c r="A1964" s="16">
        <v>46176</v>
      </c>
      <c r="B1964" s="16">
        <v>46196</v>
      </c>
      <c r="C1964" s="21">
        <v>12010015</v>
      </c>
      <c r="D1964" s="16" t="str">
        <f>IFERROR(VLOOKUP(Tabela5[[#This Row],[PREFIXO ]],Tabela4[#All],2,0),"CENTRO DE CUSTO")</f>
        <v>CAMINHONETE FORD RANGER XL 2.0 4X4 M</v>
      </c>
      <c r="E1964" s="18" t="s">
        <v>284</v>
      </c>
      <c r="F1964" s="21">
        <v>4231</v>
      </c>
      <c r="G1964" s="22">
        <v>640.03</v>
      </c>
      <c r="H1964" s="22">
        <v>1912.97</v>
      </c>
      <c r="I1964" s="22">
        <f t="shared" si="31"/>
        <v>2553</v>
      </c>
      <c r="J1964" s="18" t="s">
        <v>1082</v>
      </c>
      <c r="K1964" s="18" t="s">
        <v>4531</v>
      </c>
      <c r="L1964" s="18" t="s">
        <v>4532</v>
      </c>
      <c r="M1964" s="18" t="s">
        <v>4533</v>
      </c>
      <c r="N1964" s="41">
        <v>46197</v>
      </c>
      <c r="O1964" s="18"/>
      <c r="P1964" s="18"/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FALTA NF</v>
      </c>
      <c r="R1964" s="18"/>
    </row>
    <row r="1965" spans="1:18">
      <c r="A1965" s="30">
        <v>46188</v>
      </c>
      <c r="B1965" s="30">
        <v>46204</v>
      </c>
      <c r="C1965" s="31">
        <v>61521083</v>
      </c>
      <c r="D1965" s="30" t="str">
        <f>IFERROR(VLOOKUP(Tabela5[[#This Row],[PREFIXO ]],Tabela4[#All],2,0),"CENTRO DE CUSTO")</f>
        <v>CAM COMBOIO VOLVO VM 330</v>
      </c>
      <c r="E1965" s="33" t="s">
        <v>96</v>
      </c>
      <c r="F1965" s="31" t="s">
        <v>4534</v>
      </c>
      <c r="G1965" s="32">
        <v>522</v>
      </c>
      <c r="H1965" s="32">
        <v>906.34</v>
      </c>
      <c r="I1965" s="32">
        <f t="shared" si="31"/>
        <v>1428.3400000000001</v>
      </c>
      <c r="J1965" s="33" t="s">
        <v>1196</v>
      </c>
      <c r="K1965" s="33" t="s">
        <v>4535</v>
      </c>
      <c r="L1965" s="33" t="s">
        <v>4536</v>
      </c>
      <c r="M1965" s="33" t="s">
        <v>4537</v>
      </c>
      <c r="N1965" s="30">
        <v>46204</v>
      </c>
      <c r="O1965" s="33" t="s">
        <v>4538</v>
      </c>
      <c r="P1965" s="33" t="s">
        <v>3556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>
      <c r="A1966" s="30">
        <v>46195</v>
      </c>
      <c r="B1966" s="30">
        <v>46197</v>
      </c>
      <c r="C1966" s="31">
        <v>500580579</v>
      </c>
      <c r="D1966" s="30" t="str">
        <f>IFERROR(VLOOKUP(Tabela5[[#This Row],[PREFIXO ]],Tabela4[#All],2,0),"CENTRO DE CUSTO")</f>
        <v>Pátio de Vendas</v>
      </c>
      <c r="E1966" s="33" t="s">
        <v>224</v>
      </c>
      <c r="F1966" s="31">
        <v>4279</v>
      </c>
      <c r="G1966" s="32">
        <v>350</v>
      </c>
      <c r="H1966" s="32"/>
      <c r="I1966" s="32">
        <f t="shared" si="31"/>
        <v>350</v>
      </c>
      <c r="J1966" s="33" t="s">
        <v>3657</v>
      </c>
      <c r="K1966" s="33" t="s">
        <v>4539</v>
      </c>
      <c r="L1966" s="33" t="s">
        <v>4540</v>
      </c>
      <c r="M1966" s="33" t="s">
        <v>4541</v>
      </c>
      <c r="N1966" s="30">
        <v>46198</v>
      </c>
      <c r="O1966" s="33"/>
      <c r="P1966" s="33"/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FALTA NF</v>
      </c>
      <c r="R1966" s="33"/>
    </row>
    <row r="1967" spans="1:18">
      <c r="A1967" s="30">
        <v>46191</v>
      </c>
      <c r="B1967" s="30">
        <v>46197</v>
      </c>
      <c r="C1967" s="31">
        <v>61521065</v>
      </c>
      <c r="D1967" s="30" t="str">
        <f>IFERROR(VLOOKUP(Tabela5[[#This Row],[PREFIXO ]],Tabela4[#All],2,0),"CENTRO DE CUSTO")</f>
        <v>CAM ROLL ON/OFF VOLVO VM 330</v>
      </c>
      <c r="E1967" s="33" t="s">
        <v>121</v>
      </c>
      <c r="F1967" s="31">
        <v>91</v>
      </c>
      <c r="G1967" s="32">
        <v>932.69</v>
      </c>
      <c r="H1967" s="32"/>
      <c r="I1967" s="32">
        <f t="shared" si="31"/>
        <v>932.69</v>
      </c>
      <c r="J1967" s="33" t="s">
        <v>1196</v>
      </c>
      <c r="K1967" s="33" t="s">
        <v>4542</v>
      </c>
      <c r="L1967" s="33" t="s">
        <v>4543</v>
      </c>
      <c r="M1967" s="33" t="s">
        <v>4544</v>
      </c>
      <c r="N1967" s="30">
        <v>46198</v>
      </c>
      <c r="O1967" s="33" t="s">
        <v>3239</v>
      </c>
      <c r="P1967" s="33" t="s">
        <v>3655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>
      <c r="A1968" s="30">
        <v>46188</v>
      </c>
      <c r="B1968" s="30">
        <v>46204</v>
      </c>
      <c r="C1968" s="31">
        <v>61521079</v>
      </c>
      <c r="D1968" s="30" t="str">
        <f>IFERROR(VLOOKUP(Tabela5[[#This Row],[PREFIXO ]],Tabela4[#All],2,0),"CENTRO DE CUSTO")</f>
        <v>CAM PIPA BOMB VOLVO VM 330</v>
      </c>
      <c r="E1968" s="33" t="s">
        <v>250</v>
      </c>
      <c r="F1968" s="31">
        <v>40809</v>
      </c>
      <c r="G1968" s="32">
        <v>650</v>
      </c>
      <c r="H1968" s="32">
        <v>1121.8499999999999</v>
      </c>
      <c r="I1968" s="32">
        <f t="shared" si="31"/>
        <v>1771.85</v>
      </c>
      <c r="J1968" s="33" t="s">
        <v>1196</v>
      </c>
      <c r="K1968" s="33" t="s">
        <v>4545</v>
      </c>
      <c r="L1968" s="33" t="s">
        <v>4546</v>
      </c>
      <c r="M1968" s="33" t="s">
        <v>4547</v>
      </c>
      <c r="N1968" s="30">
        <v>46205</v>
      </c>
      <c r="O1968" s="33" t="s">
        <v>4322</v>
      </c>
      <c r="P1968" s="33" t="s">
        <v>4183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>
      <c r="A1969" s="30">
        <v>46195</v>
      </c>
      <c r="B1969" s="30">
        <v>46197</v>
      </c>
      <c r="C1969" s="31">
        <v>31521033</v>
      </c>
      <c r="D1969" s="30" t="str">
        <f>IFERROR(VLOOKUP(Tabela5[[#This Row],[PREFIXO ]],Tabela4[#All],2,0),"CENTRO DE CUSTO")</f>
        <v>ADUB AUTOPROP KUHN ACCURA ST 7000</v>
      </c>
      <c r="E1969" s="33" t="s">
        <v>323</v>
      </c>
      <c r="F1969" s="31">
        <v>7</v>
      </c>
      <c r="G1969" s="32">
        <v>25000</v>
      </c>
      <c r="H1969" s="32"/>
      <c r="I1969" s="32">
        <f t="shared" si="31"/>
        <v>25000</v>
      </c>
      <c r="J1969" s="18" t="s">
        <v>1077</v>
      </c>
      <c r="K1969" s="33" t="s">
        <v>4548</v>
      </c>
      <c r="L1969" s="33" t="s">
        <v>4549</v>
      </c>
      <c r="M1969" s="33" t="s">
        <v>4550</v>
      </c>
      <c r="N1969" s="30">
        <v>46205</v>
      </c>
      <c r="O1969" s="33" t="s">
        <v>1535</v>
      </c>
      <c r="P1969" s="33" t="s">
        <v>4454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>
      <c r="A1970" s="30">
        <v>46182</v>
      </c>
      <c r="B1970" s="30">
        <v>46197</v>
      </c>
      <c r="C1970" s="31">
        <v>43080001</v>
      </c>
      <c r="D1970" s="30" t="str">
        <f>IFERROR(VLOOKUP(Tabela5[[#This Row],[PREFIXO ]],Tabela4[#All],2,0),"CENTRO DE CUSTO")</f>
        <v>TRAT PN LEVE CASE FARMALL 80</v>
      </c>
      <c r="E1970" s="33" t="s">
        <v>196</v>
      </c>
      <c r="F1970" s="31">
        <v>65260</v>
      </c>
      <c r="G1970" s="32">
        <v>12375</v>
      </c>
      <c r="H1970" s="32">
        <v>16562.599999999999</v>
      </c>
      <c r="I1970" s="32">
        <f t="shared" si="31"/>
        <v>28937.599999999999</v>
      </c>
      <c r="J1970" s="18" t="s">
        <v>1196</v>
      </c>
      <c r="K1970" s="33" t="s">
        <v>4551</v>
      </c>
      <c r="L1970" s="33" t="s">
        <v>4552</v>
      </c>
      <c r="M1970" s="33" t="s">
        <v>4553</v>
      </c>
      <c r="N1970" s="30">
        <v>46199</v>
      </c>
      <c r="O1970" s="33"/>
      <c r="P1970" s="33"/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FALTA NF</v>
      </c>
      <c r="R1970" s="33"/>
    </row>
    <row r="1971" spans="1:18">
      <c r="A1971" s="30">
        <v>46195</v>
      </c>
      <c r="B1971" s="30">
        <v>46198</v>
      </c>
      <c r="C1971" s="31">
        <v>23110001</v>
      </c>
      <c r="D1971" s="30" t="str">
        <f>IFERROR(VLOOKUP(Tabela5[[#This Row],[PREFIXO ]],Tabela4[#All],2,0),"CENTRO DE CUSTO")</f>
        <v>TRAT PN EXT PES FENDT VARIO 1050</v>
      </c>
      <c r="E1971" s="33" t="s">
        <v>259</v>
      </c>
      <c r="F1971" s="31">
        <v>63301057</v>
      </c>
      <c r="G1971" s="32">
        <v>49.28</v>
      </c>
      <c r="H1971" s="32">
        <v>9065.51</v>
      </c>
      <c r="I1971" s="32">
        <f t="shared" si="31"/>
        <v>9114.7900000000009</v>
      </c>
      <c r="J1971" s="33" t="s">
        <v>1196</v>
      </c>
      <c r="K1971" s="33" t="s">
        <v>4554</v>
      </c>
      <c r="L1971" s="33" t="s">
        <v>4555</v>
      </c>
      <c r="M1971" s="33" t="s">
        <v>4556</v>
      </c>
      <c r="N1971" s="30">
        <v>46202</v>
      </c>
      <c r="O1971" s="33" t="s">
        <v>4557</v>
      </c>
      <c r="P1971" s="33" t="s">
        <v>4454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>
      <c r="A1972" s="30">
        <v>46195</v>
      </c>
      <c r="B1972" s="30">
        <v>46198</v>
      </c>
      <c r="C1972" s="31">
        <v>61521008</v>
      </c>
      <c r="D1972" s="30" t="str">
        <f>IFERROR(VLOOKUP(Tabela5[[#This Row],[PREFIXO ]],Tabela4[#All],2,0),"CENTRO DE CUSTO")</f>
        <v>CAV MEC PES MERC BENZ AXOR 2644</v>
      </c>
      <c r="E1972" s="33" t="s">
        <v>124</v>
      </c>
      <c r="F1972" s="31">
        <v>536</v>
      </c>
      <c r="G1972" s="32">
        <v>5164.8</v>
      </c>
      <c r="H1972" s="32">
        <v>1526.8</v>
      </c>
      <c r="I1972" s="32">
        <f t="shared" si="31"/>
        <v>6691.6</v>
      </c>
      <c r="J1972" s="33" t="s">
        <v>1196</v>
      </c>
      <c r="K1972" s="33" t="s">
        <v>4558</v>
      </c>
      <c r="L1972" s="33" t="s">
        <v>4559</v>
      </c>
      <c r="M1972" s="33" t="s">
        <v>4560</v>
      </c>
      <c r="N1972" s="30">
        <v>46203</v>
      </c>
      <c r="O1972" s="33" t="s">
        <v>4561</v>
      </c>
      <c r="P1972" s="33" t="s">
        <v>3655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>
      <c r="A1973" s="30">
        <v>46195</v>
      </c>
      <c r="B1973" s="30">
        <v>46198</v>
      </c>
      <c r="C1973" s="31">
        <v>1173019</v>
      </c>
      <c r="D1973" s="30" t="str">
        <f>IFERROR(VLOOKUP(Tabela5[[#This Row],[PREFIXO ]],Tabela4[#All],2,0),"CENTRO DE CUSTO")</f>
        <v>TRAT PN MED N.HOLLAND 7630</v>
      </c>
      <c r="E1973" s="33" t="s">
        <v>49</v>
      </c>
      <c r="F1973" s="31" t="s">
        <v>3906</v>
      </c>
      <c r="G1973" s="32">
        <v>1184.4000000000001</v>
      </c>
      <c r="H1973" s="32"/>
      <c r="I1973" s="32">
        <f t="shared" si="31"/>
        <v>1184.4000000000001</v>
      </c>
      <c r="J1973" s="33" t="s">
        <v>1196</v>
      </c>
      <c r="K1973" s="33" t="s">
        <v>4562</v>
      </c>
      <c r="L1973" s="33" t="s">
        <v>4563</v>
      </c>
      <c r="M1973" s="33" t="s">
        <v>4564</v>
      </c>
      <c r="N1973" s="30">
        <v>46198</v>
      </c>
      <c r="O1973" s="33" t="s">
        <v>4565</v>
      </c>
      <c r="P1973" s="33" t="s">
        <v>3655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>
      <c r="A1974" s="30">
        <v>46195</v>
      </c>
      <c r="B1974" s="30">
        <v>46198</v>
      </c>
      <c r="C1974" s="31">
        <v>61521012</v>
      </c>
      <c r="D1974" s="30" t="str">
        <f>IFERROR(VLOOKUP(Tabela5[[#This Row],[PREFIXO ]],Tabela4[#All],2,0),"CENTRO DE CUSTO")</f>
        <v>CAM COMBOIO MERC BENZ ATRON 2729</v>
      </c>
      <c r="E1974" s="33" t="s">
        <v>29</v>
      </c>
      <c r="F1974" s="31">
        <v>55997</v>
      </c>
      <c r="G1974" s="32">
        <v>280</v>
      </c>
      <c r="H1974" s="32">
        <v>996.87</v>
      </c>
      <c r="I1974" s="32">
        <f t="shared" si="31"/>
        <v>1276.8699999999999</v>
      </c>
      <c r="J1974" s="33" t="s">
        <v>1196</v>
      </c>
      <c r="K1974" s="33" t="s">
        <v>4566</v>
      </c>
      <c r="L1974" s="33" t="s">
        <v>4567</v>
      </c>
      <c r="M1974" s="33" t="s">
        <v>4568</v>
      </c>
      <c r="N1974" s="30">
        <v>46198</v>
      </c>
      <c r="O1974" s="33" t="s">
        <v>4569</v>
      </c>
      <c r="P1974" s="33" t="s">
        <v>3655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>
      <c r="A1975" s="30">
        <v>46184</v>
      </c>
      <c r="B1975" s="30">
        <v>46203</v>
      </c>
      <c r="C1975" s="31">
        <v>65048072</v>
      </c>
      <c r="D1975" s="30" t="str">
        <f>IFERROR(VLOOKUP(Tabela5[[#This Row],[PREFIXO ]],Tabela4[#All],2,0),"CENTRO DE CUSTO")</f>
        <v>CENTRO DE CUSTO</v>
      </c>
      <c r="E1975" s="33" t="s">
        <v>94</v>
      </c>
      <c r="F1975" s="31">
        <v>1163</v>
      </c>
      <c r="G1975" s="32">
        <v>9820</v>
      </c>
      <c r="H1975" s="32">
        <v>29080</v>
      </c>
      <c r="I1975" s="32">
        <f t="shared" si="31"/>
        <v>38900</v>
      </c>
      <c r="J1975" s="33" t="s">
        <v>1196</v>
      </c>
      <c r="K1975" s="33" t="s">
        <v>4570</v>
      </c>
      <c r="L1975" s="33" t="s">
        <v>4571</v>
      </c>
      <c r="M1975" s="33" t="s">
        <v>4572</v>
      </c>
      <c r="N1975" s="30">
        <v>46205</v>
      </c>
      <c r="O1975" s="33" t="s">
        <v>4573</v>
      </c>
      <c r="P1975" s="33" t="s">
        <v>4183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>
      <c r="A1976" s="30">
        <v>46176</v>
      </c>
      <c r="B1976" s="30">
        <v>46203</v>
      </c>
      <c r="C1976" s="31">
        <v>61521065</v>
      </c>
      <c r="D1976" s="30" t="str">
        <f>IFERROR(VLOOKUP(Tabela5[[#This Row],[PREFIXO ]],Tabela4[#All],2,0),"CENTRO DE CUSTO")</f>
        <v>CAM ROLL ON/OFF VOLVO VM 330</v>
      </c>
      <c r="E1976" s="33" t="s">
        <v>347</v>
      </c>
      <c r="F1976" s="31">
        <v>1228</v>
      </c>
      <c r="G1976" s="32">
        <v>12212</v>
      </c>
      <c r="H1976" s="32">
        <v>26444</v>
      </c>
      <c r="I1976" s="32">
        <f t="shared" si="31"/>
        <v>38656</v>
      </c>
      <c r="J1976" s="33" t="s">
        <v>1196</v>
      </c>
      <c r="K1976" s="33" t="s">
        <v>4574</v>
      </c>
      <c r="L1976" s="33" t="s">
        <v>4575</v>
      </c>
      <c r="M1976" s="33" t="s">
        <v>4576</v>
      </c>
      <c r="N1976" s="30">
        <v>46205</v>
      </c>
      <c r="O1976" s="33" t="s">
        <v>1896</v>
      </c>
      <c r="P1976" s="33" t="s">
        <v>4183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>
      <c r="A1977" s="30">
        <v>46195</v>
      </c>
      <c r="B1977" s="30">
        <v>46198</v>
      </c>
      <c r="C1977" s="31">
        <v>6173059</v>
      </c>
      <c r="D1977" s="30" t="str">
        <f>IFERROR(VLOOKUP(Tabela5[[#This Row],[PREFIXO ]],Tabela4[#All],2,0),"CENTRO DE CUSTO")</f>
        <v>CAM CARGA SECA FORD F-4000</v>
      </c>
      <c r="E1977" s="33" t="s">
        <v>29</v>
      </c>
      <c r="F1977" s="31">
        <v>56052</v>
      </c>
      <c r="G1977" s="32">
        <v>290</v>
      </c>
      <c r="H1977" s="32">
        <v>606.29999999999995</v>
      </c>
      <c r="I1977" s="32">
        <f t="shared" si="31"/>
        <v>896.3</v>
      </c>
      <c r="J1977" s="33" t="s">
        <v>1196</v>
      </c>
      <c r="K1977" s="33" t="s">
        <v>4577</v>
      </c>
      <c r="L1977" s="33" t="s">
        <v>4578</v>
      </c>
      <c r="M1977" s="33" t="s">
        <v>4579</v>
      </c>
      <c r="N1977" s="39">
        <v>46198</v>
      </c>
      <c r="O1977" s="33" t="s">
        <v>4580</v>
      </c>
      <c r="P1977" s="33" t="s">
        <v>3655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>
      <c r="A1978" s="30">
        <v>46195</v>
      </c>
      <c r="B1978" s="30">
        <v>46198</v>
      </c>
      <c r="C1978" s="31">
        <v>61521011</v>
      </c>
      <c r="D1978" s="30" t="str">
        <f>IFERROR(VLOOKUP(Tabela5[[#This Row],[PREFIXO ]],Tabela4[#All],2,0),"CENTRO DE CUSTO")</f>
        <v>CAM COMBOIO MERC BENZ ATRON 2729</v>
      </c>
      <c r="E1978" s="33" t="s">
        <v>29</v>
      </c>
      <c r="F1978" s="31">
        <v>56024</v>
      </c>
      <c r="G1978" s="32">
        <v>1085</v>
      </c>
      <c r="H1978" s="32">
        <v>3264.62</v>
      </c>
      <c r="I1978" s="32">
        <f t="shared" si="31"/>
        <v>4349.62</v>
      </c>
      <c r="J1978" s="33" t="s">
        <v>1196</v>
      </c>
      <c r="K1978" s="33" t="s">
        <v>4581</v>
      </c>
      <c r="L1978" s="33" t="s">
        <v>4582</v>
      </c>
      <c r="M1978" s="33" t="s">
        <v>4583</v>
      </c>
      <c r="N1978" s="30">
        <v>46198</v>
      </c>
      <c r="O1978" s="33"/>
      <c r="P1978" s="33"/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FALTA NF</v>
      </c>
      <c r="R1978" s="33"/>
    </row>
    <row r="1979" spans="1:18">
      <c r="A1979" s="30">
        <v>46080</v>
      </c>
      <c r="B1979" s="30">
        <v>46202</v>
      </c>
      <c r="C1979" s="31">
        <v>11040025</v>
      </c>
      <c r="D1979" s="30" t="str">
        <f>IFERROR(VLOOKUP(Tabela5[[#This Row],[PREFIXO ]],Tabela4[#All],2,0),"CENTRO DE CUSTO")</f>
        <v>CAV MEC EXT PES SCANIA R500</v>
      </c>
      <c r="E1979" s="33" t="s">
        <v>250</v>
      </c>
      <c r="F1979" s="31">
        <v>39984</v>
      </c>
      <c r="G1979" s="32">
        <v>120</v>
      </c>
      <c r="H1979" s="32">
        <v>106.76</v>
      </c>
      <c r="I1979" s="32">
        <f t="shared" si="31"/>
        <v>226.76</v>
      </c>
      <c r="J1979" s="33" t="s">
        <v>1082</v>
      </c>
      <c r="K1979" s="33" t="s">
        <v>4584</v>
      </c>
      <c r="L1979" s="33" t="s">
        <v>4585</v>
      </c>
      <c r="M1979" s="33" t="s">
        <v>4586</v>
      </c>
      <c r="N1979" s="30">
        <v>46202</v>
      </c>
      <c r="O1979" s="33" t="s">
        <v>4418</v>
      </c>
      <c r="P1979" s="33" t="s">
        <v>4587</v>
      </c>
      <c r="Q1979" s="39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>
      <c r="A1980" s="30">
        <v>46195</v>
      </c>
      <c r="B1980" s="30">
        <v>46198</v>
      </c>
      <c r="C1980" s="31">
        <v>35005015</v>
      </c>
      <c r="D1980" s="30" t="str">
        <f>IFERROR(VLOOKUP(Tabela5[[#This Row],[PREFIXO ]],Tabela4[#All],2,0),"CENTRO DE CUSTO")</f>
        <v>PULV AUTOPROP JACTO UNIPORT 3030</v>
      </c>
      <c r="E1980" s="33" t="s">
        <v>323</v>
      </c>
      <c r="F1980" s="31">
        <v>6</v>
      </c>
      <c r="G1980" s="32">
        <v>4870</v>
      </c>
      <c r="H1980" s="32"/>
      <c r="I1980" s="32">
        <f t="shared" ref="I1980:I2043" si="32">G1980+H1980</f>
        <v>4870</v>
      </c>
      <c r="J1980" s="33" t="s">
        <v>1077</v>
      </c>
      <c r="K1980" s="33" t="s">
        <v>4588</v>
      </c>
      <c r="L1980" s="33" t="s">
        <v>4589</v>
      </c>
      <c r="M1980" s="33" t="s">
        <v>4590</v>
      </c>
      <c r="N1980" s="30">
        <v>46198</v>
      </c>
      <c r="O1980" s="33" t="s">
        <v>1760</v>
      </c>
      <c r="P1980" s="33" t="s">
        <v>3655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>
      <c r="A1981" s="30">
        <v>46195</v>
      </c>
      <c r="B1981" s="30">
        <v>46199</v>
      </c>
      <c r="C1981" s="31">
        <v>500580346</v>
      </c>
      <c r="D1981" s="30" t="str">
        <f>IFERROR(VLOOKUP(Tabela5[[#This Row],[PREFIXO ]],Tabela4[#All],2,0),"CENTRO DE CUSTO")</f>
        <v>Trat Extra Pesados</v>
      </c>
      <c r="E1981" s="33" t="s">
        <v>259</v>
      </c>
      <c r="F1981" s="31">
        <v>63278859</v>
      </c>
      <c r="G1981" s="32">
        <v>48000</v>
      </c>
      <c r="H1981" s="32"/>
      <c r="I1981" s="32">
        <f t="shared" si="32"/>
        <v>48000</v>
      </c>
      <c r="J1981" s="33" t="s">
        <v>1196</v>
      </c>
      <c r="K1981" s="33" t="s">
        <v>4591</v>
      </c>
      <c r="L1981" s="33" t="s">
        <v>4592</v>
      </c>
      <c r="M1981" s="33" t="s">
        <v>4593</v>
      </c>
      <c r="N1981" s="30">
        <v>46202</v>
      </c>
      <c r="O1981" s="33"/>
      <c r="P1981" s="33"/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FALTA NF</v>
      </c>
      <c r="R1981" s="33"/>
    </row>
    <row r="1982" spans="1:18">
      <c r="A1982" s="30">
        <v>46195</v>
      </c>
      <c r="B1982" s="30">
        <v>46199</v>
      </c>
      <c r="C1982" s="31">
        <v>500580346</v>
      </c>
      <c r="D1982" s="30" t="str">
        <f>IFERROR(VLOOKUP(Tabela5[[#This Row],[PREFIXO ]],Tabela4[#All],2,0),"CENTRO DE CUSTO")</f>
        <v>Trat Extra Pesados</v>
      </c>
      <c r="E1982" s="33" t="s">
        <v>259</v>
      </c>
      <c r="F1982" s="31">
        <v>63279296</v>
      </c>
      <c r="G1982" s="32">
        <v>25000.23</v>
      </c>
      <c r="H1982" s="32"/>
      <c r="I1982" s="32">
        <f t="shared" si="32"/>
        <v>25000.23</v>
      </c>
      <c r="J1982" s="33" t="s">
        <v>1196</v>
      </c>
      <c r="K1982" s="33" t="s">
        <v>4594</v>
      </c>
      <c r="L1982" s="33" t="s">
        <v>4595</v>
      </c>
      <c r="M1982" s="33" t="s">
        <v>4596</v>
      </c>
      <c r="N1982" s="30">
        <v>46202</v>
      </c>
      <c r="O1982" s="33"/>
      <c r="P1982" s="33"/>
      <c r="Q1982" s="30" t="str" cm="1">
        <f t="array" ref="Q1982">_xlfn.IFS(
A1983="","",
AND(A1983&lt;&gt;"",B1982=""),"FALTA LANÇAMENTO",
AND(B1982&lt;&gt;"",M1982=""),"FALTA O PEDIDO",
AND(M1982&lt;&gt;"",O1982=""),"FALTA NF",
O1982&lt;&gt;"","CONCLUÍDO")</f>
        <v>FALTA NF</v>
      </c>
      <c r="R1982" s="33"/>
    </row>
    <row r="1983" spans="1:18">
      <c r="A1983" s="30">
        <v>46195</v>
      </c>
      <c r="B1983" s="30">
        <v>46199</v>
      </c>
      <c r="C1983" s="31">
        <v>61521011</v>
      </c>
      <c r="D1983" s="30" t="str">
        <f>IFERROR(VLOOKUP(Tabela5[[#This Row],[PREFIXO ]],Tabela4[#All],2,0),"CENTRO DE CUSTO")</f>
        <v>CAM COMBOIO MERC BENZ ATRON 2729</v>
      </c>
      <c r="E1983" s="33" t="s">
        <v>124</v>
      </c>
      <c r="F1983" s="31">
        <v>605</v>
      </c>
      <c r="G1983" s="32">
        <v>6086.4</v>
      </c>
      <c r="H1983" s="32">
        <v>26784.82</v>
      </c>
      <c r="I1983" s="32">
        <f t="shared" si="32"/>
        <v>32871.22</v>
      </c>
      <c r="J1983" s="18" t="s">
        <v>1196</v>
      </c>
      <c r="K1983" s="33" t="s">
        <v>4597</v>
      </c>
      <c r="L1983" s="33" t="s">
        <v>4598</v>
      </c>
      <c r="M1983" s="33" t="s">
        <v>4599</v>
      </c>
      <c r="N1983" s="30">
        <v>46202</v>
      </c>
      <c r="O1983" s="33" t="s">
        <v>2928</v>
      </c>
      <c r="P1983" s="33" t="s">
        <v>4183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>
      <c r="A1984" s="30">
        <v>46198</v>
      </c>
      <c r="B1984" s="30">
        <v>46199</v>
      </c>
      <c r="C1984" s="31">
        <v>15110010</v>
      </c>
      <c r="D1984" s="30" t="str">
        <f>IFERROR(VLOOKUP(Tabela5[[#This Row],[PREFIXO ]],Tabela4[#All],2,0),"CENTRO DE CUSTO")</f>
        <v>DISTRIB CORRET STARA BRUTTUS 25000</v>
      </c>
      <c r="E1984" s="33" t="s">
        <v>81</v>
      </c>
      <c r="F1984" s="31">
        <v>15699</v>
      </c>
      <c r="G1984" s="32">
        <v>3800</v>
      </c>
      <c r="H1984" s="32">
        <v>2053.92</v>
      </c>
      <c r="I1984" s="32">
        <f t="shared" si="32"/>
        <v>5853.92</v>
      </c>
      <c r="J1984" s="18" t="s">
        <v>2895</v>
      </c>
      <c r="K1984" s="33" t="s">
        <v>4600</v>
      </c>
      <c r="L1984" s="33" t="s">
        <v>4601</v>
      </c>
      <c r="M1984" s="33" t="s">
        <v>4602</v>
      </c>
      <c r="N1984" s="30">
        <v>46205</v>
      </c>
      <c r="O1984" s="33" t="s">
        <v>4603</v>
      </c>
      <c r="P1984" s="33" t="s">
        <v>4183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>
      <c r="A1985" s="30">
        <v>46195</v>
      </c>
      <c r="B1985" s="30">
        <v>46199</v>
      </c>
      <c r="C1985" s="31">
        <v>81521333</v>
      </c>
      <c r="D1985" s="30" t="str">
        <f>IFERROR(VLOOKUP(Tabela5[[#This Row],[PREFIXO ]],Tabela4[#All],2,0),"CENTRO DE CUSTO")</f>
        <v>SEMI REBOQ TANQUE RODOTECNICA 31.000L AI</v>
      </c>
      <c r="E1985" s="33" t="s">
        <v>323</v>
      </c>
      <c r="F1985" s="31">
        <v>81521333</v>
      </c>
      <c r="G1985" s="32">
        <v>9650</v>
      </c>
      <c r="H1985" s="32"/>
      <c r="I1985" s="32">
        <f t="shared" si="32"/>
        <v>9650</v>
      </c>
      <c r="J1985" s="18" t="s">
        <v>1196</v>
      </c>
      <c r="K1985" s="33" t="s">
        <v>4604</v>
      </c>
      <c r="L1985" s="33" t="s">
        <v>4605</v>
      </c>
      <c r="M1985" s="33" t="s">
        <v>4606</v>
      </c>
      <c r="N1985" s="30">
        <v>46202</v>
      </c>
      <c r="O1985" s="33" t="s">
        <v>1531</v>
      </c>
      <c r="P1985" s="33" t="s">
        <v>3655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>
      <c r="A1986" s="30">
        <v>46195</v>
      </c>
      <c r="B1986" s="30">
        <v>46199</v>
      </c>
      <c r="C1986" s="31" t="s">
        <v>4607</v>
      </c>
      <c r="D1986" s="30" t="str">
        <f>IFERROR(VLOOKUP(Tabela5[[#This Row],[PREFIXO ]],Tabela4[#All],2,0),"CENTRO DE CUSTO")</f>
        <v>CENTRO DE CUSTO</v>
      </c>
      <c r="E1986" s="33" t="s">
        <v>129</v>
      </c>
      <c r="F1986" s="31">
        <v>247</v>
      </c>
      <c r="G1986" s="32">
        <v>150</v>
      </c>
      <c r="H1986" s="32">
        <v>850</v>
      </c>
      <c r="I1986" s="32">
        <f t="shared" si="32"/>
        <v>1000</v>
      </c>
      <c r="J1986" s="18" t="s">
        <v>1082</v>
      </c>
      <c r="K1986" s="33" t="s">
        <v>4608</v>
      </c>
      <c r="L1986" s="33" t="s">
        <v>4609</v>
      </c>
      <c r="M1986" s="33" t="s">
        <v>4610</v>
      </c>
      <c r="N1986" s="30">
        <v>46204</v>
      </c>
      <c r="O1986" s="33" t="s">
        <v>4611</v>
      </c>
      <c r="P1986" s="33" t="s">
        <v>4183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>
      <c r="A1987" s="30">
        <v>46195</v>
      </c>
      <c r="B1987" s="30">
        <v>46199</v>
      </c>
      <c r="C1987" s="31">
        <v>6121066</v>
      </c>
      <c r="D1987" s="30" t="str">
        <f>IFERROR(VLOOKUP(Tabela5[[#This Row],[PREFIXO ]],Tabela4[#All],2,0),"CENTRO DE CUSTO")</f>
        <v>CENTRO DE CUSTO</v>
      </c>
      <c r="E1987" s="33" t="s">
        <v>250</v>
      </c>
      <c r="F1987" s="31">
        <v>40892</v>
      </c>
      <c r="G1987" s="32">
        <v>200</v>
      </c>
      <c r="H1987" s="32">
        <v>1490</v>
      </c>
      <c r="I1987" s="32">
        <f t="shared" si="32"/>
        <v>1690</v>
      </c>
      <c r="J1987" s="18" t="s">
        <v>1196</v>
      </c>
      <c r="K1987" s="33" t="s">
        <v>4612</v>
      </c>
      <c r="L1987" s="33" t="s">
        <v>4613</v>
      </c>
      <c r="M1987" s="33" t="s">
        <v>4614</v>
      </c>
      <c r="N1987" s="30">
        <v>46199</v>
      </c>
      <c r="O1987" s="33" t="s">
        <v>4615</v>
      </c>
      <c r="P1987" s="33" t="s">
        <v>4183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>
      <c r="A1988" s="30">
        <v>46195</v>
      </c>
      <c r="B1988" s="30">
        <v>46199</v>
      </c>
      <c r="C1988" s="31">
        <v>31521034</v>
      </c>
      <c r="D1988" s="30" t="str">
        <f>IFERROR(VLOOKUP(Tabela5[[#This Row],[PREFIXO ]],Tabela4[#All],2,0),"CENTRO DE CUSTO")</f>
        <v>ADUB AUTOPROP KUHN ACCURA ST 7000</v>
      </c>
      <c r="E1988" s="33" t="s">
        <v>323</v>
      </c>
      <c r="F1988" s="31">
        <v>8</v>
      </c>
      <c r="G1988" s="32">
        <v>2210</v>
      </c>
      <c r="H1988" s="32"/>
      <c r="I1988" s="32">
        <f t="shared" si="32"/>
        <v>2210</v>
      </c>
      <c r="J1988" s="18" t="s">
        <v>1077</v>
      </c>
      <c r="K1988" s="33" t="s">
        <v>4616</v>
      </c>
      <c r="L1988" s="33" t="s">
        <v>4617</v>
      </c>
      <c r="M1988" s="33" t="s">
        <v>4618</v>
      </c>
      <c r="N1988" s="30">
        <v>46202</v>
      </c>
      <c r="O1988" s="33" t="s">
        <v>1116</v>
      </c>
      <c r="P1988" s="33" t="s">
        <v>3655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>
      <c r="A1989" s="30">
        <v>46197</v>
      </c>
      <c r="B1989" s="30">
        <v>46200</v>
      </c>
      <c r="C1989" s="31">
        <v>500580579</v>
      </c>
      <c r="D1989" s="30" t="str">
        <f>IFERROR(VLOOKUP(Tabela5[[#This Row],[PREFIXO ]],Tabela4[#All],2,0),"CENTRO DE CUSTO")</f>
        <v>Pátio de Vendas</v>
      </c>
      <c r="E1989" s="33" t="s">
        <v>224</v>
      </c>
      <c r="F1989" s="31">
        <v>3029</v>
      </c>
      <c r="G1989" s="32">
        <v>1830</v>
      </c>
      <c r="H1989" s="32"/>
      <c r="I1989" s="32">
        <f t="shared" si="32"/>
        <v>1830</v>
      </c>
      <c r="J1989" s="18" t="s">
        <v>1120</v>
      </c>
      <c r="K1989" s="33" t="s">
        <v>1092</v>
      </c>
      <c r="L1989" s="33" t="s">
        <v>4619</v>
      </c>
      <c r="M1989" s="33" t="s">
        <v>4620</v>
      </c>
      <c r="N1989" s="30">
        <v>46204</v>
      </c>
      <c r="O1989" s="33"/>
      <c r="P1989" s="33"/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FALTA NF</v>
      </c>
      <c r="R1989" s="33"/>
    </row>
    <row r="1990" spans="1:18">
      <c r="A1990" s="30">
        <v>46188</v>
      </c>
      <c r="B1990" s="30">
        <v>46202</v>
      </c>
      <c r="C1990" s="31">
        <v>51521066</v>
      </c>
      <c r="D1990" s="30" t="str">
        <f>IFERROR(VLOOKUP(Tabela5[[#This Row],[PREFIXO ]],Tabela4[#All],2,0),"CENTRO DE CUSTO")</f>
        <v>COLHED ALGODÃO JOHN DEERE CP 690</v>
      </c>
      <c r="E1990" s="33" t="s">
        <v>70</v>
      </c>
      <c r="F1990" s="31">
        <v>22781</v>
      </c>
      <c r="G1990" s="32">
        <v>2100</v>
      </c>
      <c r="H1990" s="32"/>
      <c r="I1990" s="32">
        <f t="shared" si="32"/>
        <v>2100</v>
      </c>
      <c r="J1990" s="18" t="s">
        <v>1110</v>
      </c>
      <c r="K1990" s="33" t="s">
        <v>4621</v>
      </c>
      <c r="L1990" s="33" t="s">
        <v>4622</v>
      </c>
      <c r="M1990" s="33" t="s">
        <v>4623</v>
      </c>
      <c r="N1990" s="30">
        <v>46202</v>
      </c>
      <c r="O1990" s="33"/>
      <c r="P1990" s="33"/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FALTA NF</v>
      </c>
      <c r="R1990" s="33"/>
    </row>
    <row r="1991" spans="1:18">
      <c r="A1991" s="30">
        <v>46195</v>
      </c>
      <c r="B1991" s="30">
        <v>46202</v>
      </c>
      <c r="C1991" s="31">
        <v>61521061</v>
      </c>
      <c r="D1991" s="30" t="str">
        <f>IFERROR(VLOOKUP(Tabela5[[#This Row],[PREFIXO ]],Tabela4[#All],2,0),"CENTRO DE CUSTO")</f>
        <v>ONIB RODOVIÁRIO MERC BENZ MARCOPOLO TORI</v>
      </c>
      <c r="E1991" s="33" t="s">
        <v>34</v>
      </c>
      <c r="F1991" s="31">
        <v>41478</v>
      </c>
      <c r="G1991" s="32">
        <v>680.99</v>
      </c>
      <c r="H1991" s="32"/>
      <c r="I1991" s="32">
        <f t="shared" si="32"/>
        <v>680.99</v>
      </c>
      <c r="J1991" s="18" t="s">
        <v>1196</v>
      </c>
      <c r="K1991" s="33" t="s">
        <v>4624</v>
      </c>
      <c r="L1991" s="33" t="s">
        <v>4625</v>
      </c>
      <c r="M1991" s="33" t="s">
        <v>4626</v>
      </c>
      <c r="N1991" s="30">
        <v>46202</v>
      </c>
      <c r="O1991" s="33" t="s">
        <v>4627</v>
      </c>
      <c r="P1991" s="33" t="s">
        <v>3655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>
      <c r="A1992" s="30">
        <v>46184</v>
      </c>
      <c r="B1992" s="30">
        <v>46202</v>
      </c>
      <c r="C1992" s="31">
        <v>11040015</v>
      </c>
      <c r="D1992" s="30" t="str">
        <f>IFERROR(VLOOKUP(Tabela5[[#This Row],[PREFIXO ]],Tabela4[#All],2,0),"CENTRO DE CUSTO")</f>
        <v>CAV MEC EXT PES SCANIA R500</v>
      </c>
      <c r="E1992" s="33" t="s">
        <v>366</v>
      </c>
      <c r="F1992" s="43">
        <v>197116</v>
      </c>
      <c r="G1992" s="32">
        <v>240</v>
      </c>
      <c r="H1992" s="32">
        <v>925</v>
      </c>
      <c r="I1992" s="32">
        <f t="shared" si="32"/>
        <v>1165</v>
      </c>
      <c r="J1992" s="18" t="s">
        <v>1196</v>
      </c>
      <c r="K1992" s="33" t="s">
        <v>4628</v>
      </c>
      <c r="L1992" s="33" t="s">
        <v>4629</v>
      </c>
      <c r="M1992" s="33" t="s">
        <v>4630</v>
      </c>
      <c r="N1992" s="30">
        <v>46202</v>
      </c>
      <c r="O1992" s="33" t="s">
        <v>4631</v>
      </c>
      <c r="P1992" s="33" t="s">
        <v>3655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>
      <c r="A1993" s="30">
        <v>46197</v>
      </c>
      <c r="B1993" s="30">
        <v>46202</v>
      </c>
      <c r="C1993" s="31">
        <v>61521081</v>
      </c>
      <c r="D1993" s="30" t="str">
        <f>IFERROR(VLOOKUP(Tabela5[[#This Row],[PREFIXO ]],Tabela4[#All],2,0),"CENTRO DE CUSTO")</f>
        <v>CAV MEC EXT PES VOLVO FH 540</v>
      </c>
      <c r="E1993" s="33" t="s">
        <v>24</v>
      </c>
      <c r="F1993" s="31">
        <v>17593</v>
      </c>
      <c r="G1993" s="32">
        <v>356.4</v>
      </c>
      <c r="H1993" s="32">
        <v>0</v>
      </c>
      <c r="I1993" s="32">
        <f t="shared" si="32"/>
        <v>356.4</v>
      </c>
      <c r="J1993" s="18" t="s">
        <v>1082</v>
      </c>
      <c r="K1993" s="33" t="s">
        <v>4632</v>
      </c>
      <c r="L1993" s="33" t="s">
        <v>4633</v>
      </c>
      <c r="M1993" s="33" t="s">
        <v>4634</v>
      </c>
      <c r="N1993" s="30">
        <v>46204</v>
      </c>
      <c r="O1993" s="33" t="s">
        <v>4635</v>
      </c>
      <c r="P1993" s="33" t="s">
        <v>4454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>
      <c r="A1994" s="30">
        <v>46195</v>
      </c>
      <c r="B1994" s="30">
        <v>46202</v>
      </c>
      <c r="C1994" s="31">
        <v>11521030</v>
      </c>
      <c r="D1994" s="30" t="str">
        <f>IFERROR(VLOOKUP(Tabela5[[#This Row],[PREFIXO ]],Tabela4[#All],2,0),"CENTRO DE CUSTO")</f>
        <v>TRAT PN EXT PES FENDT 1046 VARIO</v>
      </c>
      <c r="E1994" s="33" t="s">
        <v>359</v>
      </c>
      <c r="F1994" s="31" t="s">
        <v>4636</v>
      </c>
      <c r="G1994" s="32">
        <v>2374.2399999999998</v>
      </c>
      <c r="H1994" s="32"/>
      <c r="I1994" s="32">
        <f t="shared" si="32"/>
        <v>2374.2399999999998</v>
      </c>
      <c r="J1994" s="18" t="s">
        <v>1196</v>
      </c>
      <c r="K1994" s="33" t="s">
        <v>4637</v>
      </c>
      <c r="L1994" s="33" t="s">
        <v>4638</v>
      </c>
      <c r="M1994" s="33" t="s">
        <v>4639</v>
      </c>
      <c r="N1994" s="30">
        <v>46205</v>
      </c>
      <c r="O1994" s="33" t="s">
        <v>3047</v>
      </c>
      <c r="P1994" s="33" t="s">
        <v>4454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>
      <c r="A1995" s="30">
        <v>46195</v>
      </c>
      <c r="B1995" s="30">
        <v>46202</v>
      </c>
      <c r="C1995" s="31">
        <v>22080176</v>
      </c>
      <c r="D1995" s="30" t="str">
        <f>IFERROR(VLOOKUP(Tabela5[[#This Row],[PREFIXO ]],Tabela4[#All],2,0),"CENTRO DE CUSTO")</f>
        <v>CENTRO DE CUSTO</v>
      </c>
      <c r="E1995" s="33" t="s">
        <v>372</v>
      </c>
      <c r="F1995" s="31">
        <v>22080176</v>
      </c>
      <c r="G1995" s="32">
        <v>1200</v>
      </c>
      <c r="H1995" s="32"/>
      <c r="I1995" s="32">
        <f t="shared" si="32"/>
        <v>1200</v>
      </c>
      <c r="J1995" s="18" t="s">
        <v>1196</v>
      </c>
      <c r="K1995" s="33" t="s">
        <v>4640</v>
      </c>
      <c r="L1995" s="33" t="s">
        <v>4641</v>
      </c>
      <c r="M1995" s="33" t="s">
        <v>4642</v>
      </c>
      <c r="N1995" s="30">
        <v>46202</v>
      </c>
      <c r="O1995" s="33" t="s">
        <v>1331</v>
      </c>
      <c r="P1995" s="33" t="s">
        <v>3655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>
      <c r="A1996" s="30">
        <v>46197</v>
      </c>
      <c r="B1996" s="30">
        <v>46203</v>
      </c>
      <c r="C1996" s="31">
        <v>61521061</v>
      </c>
      <c r="D1996" s="30" t="str">
        <f>IFERROR(VLOOKUP(Tabela5[[#This Row],[PREFIXO ]],Tabela4[#All],2,0),"CENTRO DE CUSTO")</f>
        <v>ONIB RODOVIÁRIO MERC BENZ MARCOPOLO TORI</v>
      </c>
      <c r="E1996" s="33" t="s">
        <v>121</v>
      </c>
      <c r="F1996" s="31">
        <v>94</v>
      </c>
      <c r="G1996" s="32">
        <v>200</v>
      </c>
      <c r="H1996" s="32">
        <v>280.74</v>
      </c>
      <c r="I1996" s="32">
        <f t="shared" si="32"/>
        <v>480.74</v>
      </c>
      <c r="J1996" s="33" t="s">
        <v>1196</v>
      </c>
      <c r="K1996" s="33" t="s">
        <v>4643</v>
      </c>
      <c r="L1996" s="33" t="s">
        <v>4644</v>
      </c>
      <c r="M1996" s="33" t="s">
        <v>4645</v>
      </c>
      <c r="N1996" s="30">
        <v>46205</v>
      </c>
      <c r="O1996" s="33" t="s">
        <v>4646</v>
      </c>
      <c r="P1996" s="33" t="s">
        <v>4183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>
      <c r="A1997" s="30">
        <v>46197</v>
      </c>
      <c r="B1997" s="30">
        <v>46203</v>
      </c>
      <c r="C1997" s="31">
        <v>11040020</v>
      </c>
      <c r="D1997" s="30" t="str">
        <f>IFERROR(VLOOKUP(Tabela5[[#This Row],[PREFIXO ]],Tabela4[#All],2,0),"CENTRO DE CUSTO")</f>
        <v>CAV MEC EXT PES SCANIA R500</v>
      </c>
      <c r="E1997" s="33" t="s">
        <v>121</v>
      </c>
      <c r="F1997" s="31">
        <v>93</v>
      </c>
      <c r="G1997" s="32">
        <v>510</v>
      </c>
      <c r="H1997" s="32">
        <v>1483.05</v>
      </c>
      <c r="I1997" s="32">
        <f t="shared" si="32"/>
        <v>1993.05</v>
      </c>
      <c r="J1997" s="33" t="s">
        <v>1196</v>
      </c>
      <c r="K1997" s="33" t="s">
        <v>4647</v>
      </c>
      <c r="L1997" s="33" t="s">
        <v>4648</v>
      </c>
      <c r="M1997" s="33" t="s">
        <v>4649</v>
      </c>
      <c r="N1997" s="30">
        <v>46205</v>
      </c>
      <c r="O1997" s="33" t="s">
        <v>4650</v>
      </c>
      <c r="P1997" s="33" t="s">
        <v>4183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>
      <c r="A1998" s="30">
        <v>46197</v>
      </c>
      <c r="B1998" s="30">
        <v>46203</v>
      </c>
      <c r="C1998" s="31">
        <v>23120016</v>
      </c>
      <c r="D1998" s="30" t="str">
        <f>IFERROR(VLOOKUP(Tabela5[[#This Row],[PREFIXO ]],Tabela4[#All],2,0),"CENTRO DE CUSTO")</f>
        <v>EMPILHA COMBUST TOYOTA 8FGU30</v>
      </c>
      <c r="E1998" s="33" t="s">
        <v>96</v>
      </c>
      <c r="F1998" s="31">
        <v>4300</v>
      </c>
      <c r="G1998" s="32">
        <v>958.5</v>
      </c>
      <c r="H1998" s="32">
        <v>873.29</v>
      </c>
      <c r="I1998" s="32">
        <f t="shared" si="32"/>
        <v>1831.79</v>
      </c>
      <c r="J1998" s="33" t="s">
        <v>1082</v>
      </c>
      <c r="K1998" s="33" t="s">
        <v>4651</v>
      </c>
      <c r="L1998" s="33" t="s">
        <v>4652</v>
      </c>
      <c r="M1998" s="33" t="s">
        <v>4653</v>
      </c>
      <c r="N1998" s="30">
        <v>46204</v>
      </c>
      <c r="O1998" s="33" t="s">
        <v>4654</v>
      </c>
      <c r="P1998" s="33" t="s">
        <v>4454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>
      <c r="A1999" s="30">
        <v>46197</v>
      </c>
      <c r="B1999" s="30">
        <v>46203</v>
      </c>
      <c r="C1999" s="31">
        <v>35014011</v>
      </c>
      <c r="D1999" s="30" t="str">
        <f>IFERROR(VLOOKUP(Tabela5[[#This Row],[PREFIXO ]],Tabela4[#All],2,0),"CENTRO DE CUSTO")</f>
        <v>CENTRO DE CUSTO</v>
      </c>
      <c r="E1999" s="33" t="s">
        <v>29</v>
      </c>
      <c r="F1999" s="31">
        <v>55886</v>
      </c>
      <c r="G1999" s="32">
        <v>11369</v>
      </c>
      <c r="H1999" s="32">
        <v>1579.39</v>
      </c>
      <c r="I1999" s="32">
        <f t="shared" si="32"/>
        <v>12948.39</v>
      </c>
      <c r="J1999" s="18" t="s">
        <v>1196</v>
      </c>
      <c r="K1999" s="33" t="s">
        <v>4655</v>
      </c>
      <c r="L1999" s="33" t="s">
        <v>4656</v>
      </c>
      <c r="M1999" s="33" t="s">
        <v>4657</v>
      </c>
      <c r="N1999" s="30">
        <v>46205</v>
      </c>
      <c r="O1999" s="33" t="s">
        <v>4658</v>
      </c>
      <c r="P1999" s="33" t="s">
        <v>4183</v>
      </c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CONCLUÍDO</v>
      </c>
      <c r="R1999" s="33"/>
    </row>
    <row r="2000" spans="1:18">
      <c r="A2000" s="30">
        <v>46197</v>
      </c>
      <c r="B2000" s="30">
        <v>46203</v>
      </c>
      <c r="C2000" s="31">
        <v>11040004</v>
      </c>
      <c r="D2000" s="30" t="str">
        <f>IFERROR(VLOOKUP(Tabela5[[#This Row],[PREFIXO ]],Tabela4[#All],2,0),"CENTRO DE CUSTO")</f>
        <v>CAV MEC EXT PES SCANIA R500</v>
      </c>
      <c r="E2000" s="33" t="s">
        <v>29</v>
      </c>
      <c r="F2000" s="31">
        <v>55870</v>
      </c>
      <c r="G2000" s="32">
        <v>5674</v>
      </c>
      <c r="H2000" s="32">
        <v>16129.93</v>
      </c>
      <c r="I2000" s="32">
        <f t="shared" si="32"/>
        <v>21803.93</v>
      </c>
      <c r="J2000" s="33" t="s">
        <v>1196</v>
      </c>
      <c r="K2000" s="33" t="s">
        <v>4659</v>
      </c>
      <c r="L2000" s="33" t="s">
        <v>4660</v>
      </c>
      <c r="M2000" s="33" t="s">
        <v>4661</v>
      </c>
      <c r="N2000" s="39">
        <v>46205</v>
      </c>
      <c r="O2000" s="33" t="s">
        <v>4662</v>
      </c>
      <c r="P2000" s="33" t="s">
        <v>4183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>
      <c r="A2001" s="30">
        <v>46182</v>
      </c>
      <c r="B2001" s="30">
        <v>46185</v>
      </c>
      <c r="C2001" s="31">
        <v>51521052</v>
      </c>
      <c r="D2001" s="30" t="str">
        <f>IFERROR(VLOOKUP(Tabela5[[#This Row],[PREFIXO ]],Tabela4[#All],2,0),"CENTRO DE CUSTO")</f>
        <v>COLHED ALGODÃO JOHN DEERE CP 690</v>
      </c>
      <c r="E2001" s="33" t="s">
        <v>17</v>
      </c>
      <c r="F2001" s="31">
        <v>44066</v>
      </c>
      <c r="G2001" s="32">
        <v>1466.91</v>
      </c>
      <c r="H2001" s="32">
        <v>11223.14</v>
      </c>
      <c r="I2001" s="32">
        <f t="shared" si="32"/>
        <v>12690.05</v>
      </c>
      <c r="J2001" s="33" t="s">
        <v>1120</v>
      </c>
      <c r="K2001" s="33" t="s">
        <v>4663</v>
      </c>
      <c r="L2001" s="33" t="s">
        <v>4664</v>
      </c>
      <c r="M2001" s="33" t="s">
        <v>4665</v>
      </c>
      <c r="N2001" s="30">
        <v>46198</v>
      </c>
      <c r="O2001" s="33" t="s">
        <v>4666</v>
      </c>
      <c r="P2001" s="33" t="s">
        <v>4183</v>
      </c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CONCLUÍDO</v>
      </c>
      <c r="R2001" s="33"/>
    </row>
    <row r="2002" spans="1:18">
      <c r="A2002" s="30">
        <v>46197</v>
      </c>
      <c r="B2002" s="30">
        <v>46203</v>
      </c>
      <c r="C2002" s="31">
        <v>31521013</v>
      </c>
      <c r="D2002" s="30" t="str">
        <f>IFERROR(VLOOKUP(Tabela5[[#This Row],[PREFIXO ]],Tabela4[#All],2,0),"CENTRO DE CUSTO")</f>
        <v>PULV AUTOPROP JACTO UNIPORT 3030</v>
      </c>
      <c r="E2002" s="33" t="s">
        <v>34</v>
      </c>
      <c r="F2002" s="31">
        <v>41482</v>
      </c>
      <c r="G2002" s="32">
        <v>750</v>
      </c>
      <c r="H2002" s="32">
        <v>3330</v>
      </c>
      <c r="I2002" s="32">
        <f t="shared" si="32"/>
        <v>4080</v>
      </c>
      <c r="J2002" s="33" t="s">
        <v>1077</v>
      </c>
      <c r="K2002" s="33" t="s">
        <v>4667</v>
      </c>
      <c r="L2002" s="33" t="s">
        <v>4668</v>
      </c>
      <c r="M2002" s="33" t="s">
        <v>4669</v>
      </c>
      <c r="N2002" s="30">
        <v>46205</v>
      </c>
      <c r="O2002" s="33"/>
      <c r="P2002" s="33"/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FALTA NF</v>
      </c>
      <c r="R2002" s="33"/>
    </row>
    <row r="2003" spans="1:18">
      <c r="A2003" s="30">
        <v>46197</v>
      </c>
      <c r="B2003" s="30">
        <v>46203</v>
      </c>
      <c r="C2003" s="31">
        <v>31521014</v>
      </c>
      <c r="D2003" s="30" t="str">
        <f>IFERROR(VLOOKUP(Tabela5[[#This Row],[PREFIXO ]],Tabela4[#All],2,0),"CENTRO DE CUSTO")</f>
        <v>PULV AUTOPROP JACTO UNIPORT 3030</v>
      </c>
      <c r="E2003" s="33" t="s">
        <v>34</v>
      </c>
      <c r="F2003" s="31">
        <v>41483</v>
      </c>
      <c r="G2003" s="32">
        <v>940</v>
      </c>
      <c r="H2003" s="32">
        <v>3790</v>
      </c>
      <c r="I2003" s="32">
        <f t="shared" si="32"/>
        <v>4730</v>
      </c>
      <c r="J2003" s="33" t="s">
        <v>1077</v>
      </c>
      <c r="K2003" s="33" t="s">
        <v>4670</v>
      </c>
      <c r="L2003" s="33" t="s">
        <v>4671</v>
      </c>
      <c r="M2003" s="33" t="s">
        <v>4672</v>
      </c>
      <c r="N2003" s="30">
        <v>46205</v>
      </c>
      <c r="O2003" s="33"/>
      <c r="P2003" s="33"/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FALTA NF</v>
      </c>
      <c r="R2003" s="33"/>
    </row>
    <row r="2004" spans="1:18">
      <c r="A2004" s="30">
        <v>46195</v>
      </c>
      <c r="B2004" s="30">
        <v>46203</v>
      </c>
      <c r="C2004" s="31">
        <v>51521096</v>
      </c>
      <c r="D2004" s="30" t="str">
        <f>IFERROR(VLOOKUP(Tabela5[[#This Row],[PREFIXO ]],Tabela4[#All],2,0),"CENTRO DE CUSTO")</f>
        <v>COLHEIT DE GRÃOS N.HOLLAND CR 8.90</v>
      </c>
      <c r="E2004" s="33" t="s">
        <v>71</v>
      </c>
      <c r="F2004" s="31">
        <v>7802</v>
      </c>
      <c r="G2004" s="32">
        <v>1120</v>
      </c>
      <c r="H2004" s="32"/>
      <c r="I2004" s="32">
        <f t="shared" si="32"/>
        <v>1120</v>
      </c>
      <c r="J2004" s="33" t="s">
        <v>1120</v>
      </c>
      <c r="K2004" s="33" t="s">
        <v>4673</v>
      </c>
      <c r="L2004" s="33" t="s">
        <v>4674</v>
      </c>
      <c r="M2004" s="33" t="s">
        <v>4675</v>
      </c>
      <c r="N2004" s="30">
        <v>46204</v>
      </c>
      <c r="O2004" s="33" t="s">
        <v>4676</v>
      </c>
      <c r="P2004" s="33" t="s">
        <v>4454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>
      <c r="A2005" s="30">
        <v>46195</v>
      </c>
      <c r="B2005" s="30">
        <v>46203</v>
      </c>
      <c r="C2005" s="31">
        <v>12060004</v>
      </c>
      <c r="D2005" s="30" t="str">
        <f>IFERROR(VLOOKUP(Tabela5[[#This Row],[PREFIXO ]],Tabela4[#All],2,0),"CENTRO DE CUSTO")</f>
        <v>ONIB RODOVIÁRIO MARCOPOLO NEOBUS MEGA</v>
      </c>
      <c r="E2005" s="33" t="s">
        <v>29</v>
      </c>
      <c r="F2005" s="31">
        <v>55973</v>
      </c>
      <c r="G2005" s="32">
        <v>9079</v>
      </c>
      <c r="H2005" s="32">
        <v>19937.490000000002</v>
      </c>
      <c r="I2005" s="32">
        <f t="shared" si="32"/>
        <v>29016.49</v>
      </c>
      <c r="J2005" s="33" t="s">
        <v>1196</v>
      </c>
      <c r="K2005" s="33" t="s">
        <v>4677</v>
      </c>
      <c r="L2005" s="33" t="s">
        <v>4678</v>
      </c>
      <c r="M2005" s="33" t="s">
        <v>4679</v>
      </c>
      <c r="N2005" s="30">
        <v>46205</v>
      </c>
      <c r="O2005" s="33" t="s">
        <v>4680</v>
      </c>
      <c r="P2005" s="33" t="s">
        <v>4183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>
      <c r="A2006" s="30">
        <v>46195</v>
      </c>
      <c r="B2006" s="30">
        <v>46203</v>
      </c>
      <c r="C2006" s="31">
        <v>85014031</v>
      </c>
      <c r="D2006" s="30" t="str">
        <f>IFERROR(VLOOKUP(Tabela5[[#This Row],[PREFIXO ]],Tabela4[#All],2,0),"CENTRO DE CUSTO")</f>
        <v>CENTRO DE CUSTO</v>
      </c>
      <c r="E2006" s="33" t="s">
        <v>29</v>
      </c>
      <c r="F2006" s="31">
        <v>55791</v>
      </c>
      <c r="G2006" s="32">
        <v>46090</v>
      </c>
      <c r="H2006" s="32">
        <v>57631.4</v>
      </c>
      <c r="I2006" s="32">
        <f t="shared" si="32"/>
        <v>103721.4</v>
      </c>
      <c r="J2006" s="33" t="s">
        <v>1196</v>
      </c>
      <c r="K2006" s="33" t="s">
        <v>4681</v>
      </c>
      <c r="L2006" s="33" t="s">
        <v>4682</v>
      </c>
      <c r="M2006" s="33" t="s">
        <v>4683</v>
      </c>
      <c r="N2006" s="30">
        <v>46205</v>
      </c>
      <c r="O2006" s="33" t="s">
        <v>4684</v>
      </c>
      <c r="P2006" s="33" t="s">
        <v>4183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>
      <c r="A2007" s="30">
        <v>46197</v>
      </c>
      <c r="B2007" s="30">
        <v>46204</v>
      </c>
      <c r="C2007" s="31">
        <v>5173116</v>
      </c>
      <c r="D2007" s="30" t="str">
        <f>IFERROR(VLOOKUP(Tabela5[[#This Row],[PREFIXO ]],Tabela4[#All],2,0),"CENTRO DE CUSTO")</f>
        <v>COLHED ALGODÃO JOHN DEERE 7760</v>
      </c>
      <c r="E2007" s="33" t="s">
        <v>17</v>
      </c>
      <c r="F2007" s="31">
        <v>44452</v>
      </c>
      <c r="G2007" s="32">
        <v>2000</v>
      </c>
      <c r="H2007" s="32">
        <v>2397.8200000000002</v>
      </c>
      <c r="I2007" s="32">
        <f t="shared" si="32"/>
        <v>4397.82</v>
      </c>
      <c r="J2007" s="33" t="s">
        <v>1120</v>
      </c>
      <c r="K2007" s="33" t="s">
        <v>4685</v>
      </c>
      <c r="L2007" s="33" t="s">
        <v>4686</v>
      </c>
      <c r="M2007" s="33" t="s">
        <v>4687</v>
      </c>
      <c r="N2007" s="30">
        <v>46205</v>
      </c>
      <c r="O2007" s="33" t="s">
        <v>4688</v>
      </c>
      <c r="P2007" s="33" t="s">
        <v>4689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>
      <c r="A2008" s="30">
        <v>46197</v>
      </c>
      <c r="B2008" s="30">
        <v>46204</v>
      </c>
      <c r="C2008" s="31">
        <v>51521058</v>
      </c>
      <c r="D2008" s="30" t="str">
        <f>IFERROR(VLOOKUP(Tabela5[[#This Row],[PREFIXO ]],Tabela4[#All],2,0),"CENTRO DE CUSTO")</f>
        <v>COLHED ALGODÃO JOHN DEERE CP 690</v>
      </c>
      <c r="E2008" s="33" t="s">
        <v>17</v>
      </c>
      <c r="F2008" s="31">
        <v>44546</v>
      </c>
      <c r="G2008" s="32">
        <v>2528.7399999999998</v>
      </c>
      <c r="H2008" s="32">
        <v>1814.7</v>
      </c>
      <c r="I2008" s="32">
        <f t="shared" si="32"/>
        <v>4343.4399999999996</v>
      </c>
      <c r="J2008" s="33" t="s">
        <v>1120</v>
      </c>
      <c r="K2008" s="33" t="s">
        <v>4690</v>
      </c>
      <c r="L2008" s="33" t="s">
        <v>4691</v>
      </c>
      <c r="M2008" s="33" t="s">
        <v>4692</v>
      </c>
      <c r="N2008" s="30">
        <v>46205</v>
      </c>
      <c r="O2008" s="33" t="s">
        <v>4693</v>
      </c>
      <c r="P2008" s="33" t="s">
        <v>4689</v>
      </c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CONCLUÍDO</v>
      </c>
      <c r="R2008" s="33"/>
    </row>
    <row r="2009" spans="1:18">
      <c r="A2009" s="30">
        <v>46188</v>
      </c>
      <c r="B2009" s="30">
        <v>46197</v>
      </c>
      <c r="C2009" s="31">
        <v>6173059</v>
      </c>
      <c r="D2009" s="30" t="str">
        <f>IFERROR(VLOOKUP(Tabela5[[#This Row],[PREFIXO ]],Tabela4[#All],2,0),"CENTRO DE CUSTO")</f>
        <v>CAM CARGA SECA FORD F-4000</v>
      </c>
      <c r="E2009" s="33" t="s">
        <v>121</v>
      </c>
      <c r="F2009" s="31">
        <v>89</v>
      </c>
      <c r="G2009" s="32">
        <v>817</v>
      </c>
      <c r="H2009" s="32">
        <v>2099.31</v>
      </c>
      <c r="I2009" s="32">
        <f t="shared" si="32"/>
        <v>2916.31</v>
      </c>
      <c r="J2009" s="33" t="s">
        <v>1196</v>
      </c>
      <c r="K2009" s="33" t="s">
        <v>4694</v>
      </c>
      <c r="L2009" s="33" t="s">
        <v>4695</v>
      </c>
      <c r="M2009" s="33" t="s">
        <v>4696</v>
      </c>
      <c r="N2009" s="30">
        <v>46198</v>
      </c>
      <c r="O2009" s="33" t="s">
        <v>4697</v>
      </c>
      <c r="P2009" s="33" t="s">
        <v>3655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>
      <c r="A2010" s="30">
        <v>46184</v>
      </c>
      <c r="B2010" s="30">
        <v>46197</v>
      </c>
      <c r="C2010" s="31">
        <v>61521052</v>
      </c>
      <c r="D2010" s="30" t="str">
        <f>IFERROR(VLOOKUP(Tabela5[[#This Row],[PREFIXO ]],Tabela4[#All],2,0),"CENTRO DE CUSTO")</f>
        <v>CAM CARGA SECA MERC BENZ ATEGO 1719</v>
      </c>
      <c r="E2010" s="33" t="s">
        <v>29</v>
      </c>
      <c r="F2010" s="31">
        <v>55899</v>
      </c>
      <c r="G2010" s="32">
        <v>3771.99</v>
      </c>
      <c r="H2010" s="32">
        <v>2423</v>
      </c>
      <c r="I2010" s="32">
        <f t="shared" si="32"/>
        <v>6194.99</v>
      </c>
      <c r="J2010" s="33" t="s">
        <v>1196</v>
      </c>
      <c r="K2010" s="33" t="s">
        <v>4698</v>
      </c>
      <c r="L2010" s="33" t="s">
        <v>4699</v>
      </c>
      <c r="M2010" s="33" t="s">
        <v>4700</v>
      </c>
      <c r="N2010" s="30">
        <v>46198</v>
      </c>
      <c r="O2010" s="33" t="s">
        <v>4701</v>
      </c>
      <c r="P2010" s="33" t="s">
        <v>3655</v>
      </c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CONCLUÍDO</v>
      </c>
      <c r="R2010" s="33"/>
    </row>
    <row r="2011" spans="1:18">
      <c r="A2011" s="30">
        <v>46184</v>
      </c>
      <c r="B2011" s="30">
        <v>46197</v>
      </c>
      <c r="C2011" s="31">
        <v>61521031</v>
      </c>
      <c r="D2011" s="30" t="str">
        <f>IFERROR(VLOOKUP(Tabela5[[#This Row],[PREFIXO ]],Tabela4[#All],2,0),"CENTRO DE CUSTO")</f>
        <v>CAV MEC PES MERC BENZ ACTRO 2651</v>
      </c>
      <c r="E2011" s="33" t="s">
        <v>29</v>
      </c>
      <c r="F2011" s="31">
        <v>55885</v>
      </c>
      <c r="G2011" s="32">
        <v>2044</v>
      </c>
      <c r="H2011" s="32">
        <v>4059.86</v>
      </c>
      <c r="I2011" s="32">
        <f t="shared" si="32"/>
        <v>6103.8600000000006</v>
      </c>
      <c r="J2011" s="33" t="s">
        <v>1196</v>
      </c>
      <c r="K2011" s="33" t="s">
        <v>4702</v>
      </c>
      <c r="L2011" s="33" t="s">
        <v>4703</v>
      </c>
      <c r="M2011" s="33" t="s">
        <v>4704</v>
      </c>
      <c r="N2011" s="30">
        <v>46198</v>
      </c>
      <c r="O2011" s="33" t="s">
        <v>4705</v>
      </c>
      <c r="P2011" s="33" t="s">
        <v>3655</v>
      </c>
      <c r="Q2011" s="30" t="str" cm="1">
        <f t="array" ref="Q2011">_xlfn.IFS(
A2011="","",
AND(A2011&lt;&gt;"",B2011=""),"FALTA LANÇAMENTO",
AND(B2011&lt;&gt;"",M2011=""),"FALTA O PEDIDO",
AND(M2011&lt;&gt;"",O2011=""),"FALTA NF",
O2011&lt;&gt;"","CONCLUÍDO")</f>
        <v>CONCLUÍDO</v>
      </c>
      <c r="R2011" s="33"/>
    </row>
    <row r="2012" spans="1:18">
      <c r="A2012" s="30">
        <v>46175</v>
      </c>
      <c r="B2012" s="30">
        <v>46198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29</v>
      </c>
      <c r="F2012" s="31">
        <v>55633</v>
      </c>
      <c r="G2012" s="32">
        <v>22682</v>
      </c>
      <c r="H2012" s="32">
        <v>58727.06</v>
      </c>
      <c r="I2012" s="32">
        <f t="shared" si="32"/>
        <v>81409.06</v>
      </c>
      <c r="J2012" s="33" t="s">
        <v>1082</v>
      </c>
      <c r="K2012" s="33" t="s">
        <v>4706</v>
      </c>
      <c r="L2012" s="33" t="s">
        <v>4707</v>
      </c>
      <c r="M2012" s="33" t="s">
        <v>4708</v>
      </c>
      <c r="N2012" s="30">
        <v>46199</v>
      </c>
      <c r="O2012" s="33" t="s">
        <v>4709</v>
      </c>
      <c r="P2012" s="33" t="s">
        <v>3655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>
      <c r="A2013" s="30">
        <v>46197</v>
      </c>
      <c r="B2013" s="30">
        <v>46204</v>
      </c>
      <c r="C2013" s="31">
        <v>5173115</v>
      </c>
      <c r="D2013" s="30" t="str">
        <f>IFERROR(VLOOKUP(Tabela5[[#This Row],[PREFIXO ]],Tabela4[#All],2,0),"CENTRO DE CUSTO")</f>
        <v>COLHED ALGODÃO JOHN DEERE 7760</v>
      </c>
      <c r="E2013" s="33" t="s">
        <v>17</v>
      </c>
      <c r="F2013" s="31" t="s">
        <v>4710</v>
      </c>
      <c r="G2013" s="32">
        <v>1566</v>
      </c>
      <c r="H2013" s="32">
        <v>3951.5</v>
      </c>
      <c r="I2013" s="32">
        <f t="shared" si="32"/>
        <v>5517.5</v>
      </c>
      <c r="J2013" s="33" t="s">
        <v>1120</v>
      </c>
      <c r="K2013" s="33" t="s">
        <v>4711</v>
      </c>
      <c r="L2013" s="33" t="s">
        <v>4712</v>
      </c>
      <c r="M2013" s="33" t="s">
        <v>4713</v>
      </c>
      <c r="N2013" s="30">
        <v>46205</v>
      </c>
      <c r="O2013" s="33" t="s">
        <v>4714</v>
      </c>
      <c r="P2013" s="33" t="s">
        <v>4183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>
      <c r="A2014" s="30">
        <v>46184</v>
      </c>
      <c r="B2014" s="30">
        <v>46199</v>
      </c>
      <c r="C2014" s="31">
        <v>51519028</v>
      </c>
      <c r="D2014" s="30" t="str">
        <f>IFERROR(VLOOKUP(Tabela5[[#This Row],[PREFIXO ]],Tabela4[#All],2,0),"CENTRO DE CUSTO")</f>
        <v>COLHEIT DE GRÃOS N.HOLLAND CR 8.90</v>
      </c>
      <c r="E2014" s="33" t="s">
        <v>218</v>
      </c>
      <c r="F2014" s="31">
        <v>26802</v>
      </c>
      <c r="G2014" s="32">
        <v>18517.5</v>
      </c>
      <c r="H2014" s="32">
        <v>69784.17</v>
      </c>
      <c r="I2014" s="32">
        <f t="shared" si="32"/>
        <v>88301.67</v>
      </c>
      <c r="J2014" s="33" t="s">
        <v>1120</v>
      </c>
      <c r="K2014" s="33" t="s">
        <v>4715</v>
      </c>
      <c r="L2014" s="33" t="s">
        <v>4716</v>
      </c>
      <c r="M2014" s="33" t="s">
        <v>4717</v>
      </c>
      <c r="N2014" s="30">
        <v>46202</v>
      </c>
      <c r="O2014" s="33" t="s">
        <v>4718</v>
      </c>
      <c r="P2014" s="33" t="s">
        <v>4719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>
      <c r="A2015" s="30">
        <v>46188</v>
      </c>
      <c r="B2015" s="30">
        <v>46198</v>
      </c>
      <c r="C2015" s="31">
        <v>61521065</v>
      </c>
      <c r="D2015" s="30" t="str">
        <f>IFERROR(VLOOKUP(Tabela5[[#This Row],[PREFIXO ]],Tabela4[#All],2,0),"CENTRO DE CUSTO")</f>
        <v>CAM ROLL ON/OFF VOLVO VM 330</v>
      </c>
      <c r="E2015" s="33" t="s">
        <v>29</v>
      </c>
      <c r="F2015" s="31">
        <v>55948</v>
      </c>
      <c r="G2015" s="32">
        <v>16693</v>
      </c>
      <c r="H2015" s="32">
        <v>39045.72</v>
      </c>
      <c r="I2015" s="32">
        <f t="shared" si="32"/>
        <v>55738.720000000001</v>
      </c>
      <c r="J2015" s="33" t="s">
        <v>1196</v>
      </c>
      <c r="K2015" s="33" t="s">
        <v>4720</v>
      </c>
      <c r="L2015" s="33" t="s">
        <v>4721</v>
      </c>
      <c r="M2015" s="33" t="s">
        <v>4722</v>
      </c>
      <c r="N2015" s="30">
        <v>46200</v>
      </c>
      <c r="O2015" s="33" t="s">
        <v>4723</v>
      </c>
      <c r="P2015" s="33" t="s">
        <v>3655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>
      <c r="A2016" s="30">
        <v>46184</v>
      </c>
      <c r="B2016" s="30">
        <v>46196</v>
      </c>
      <c r="C2016" s="31">
        <v>8173200</v>
      </c>
      <c r="D2016" s="30" t="str">
        <f>IFERROR(VLOOKUP(Tabela5[[#This Row],[PREFIXO ]],Tabela4[#All],2,0),"CENTRO DE CUSTO")</f>
        <v>SEMI REBOQUE BASCULANTE RANDON</v>
      </c>
      <c r="E2016" s="33" t="s">
        <v>29</v>
      </c>
      <c r="F2016" s="31">
        <v>55901</v>
      </c>
      <c r="G2016" s="32">
        <v>1064</v>
      </c>
      <c r="H2016" s="32">
        <v>3123.73</v>
      </c>
      <c r="I2016" s="32">
        <f t="shared" si="32"/>
        <v>4187.7299999999996</v>
      </c>
      <c r="J2016" s="33" t="s">
        <v>1196</v>
      </c>
      <c r="K2016" s="33" t="s">
        <v>4724</v>
      </c>
      <c r="L2016" s="33" t="s">
        <v>4725</v>
      </c>
      <c r="M2016" s="33" t="s">
        <v>4726</v>
      </c>
      <c r="N2016" s="30">
        <v>46197</v>
      </c>
      <c r="O2016" s="33" t="s">
        <v>4727</v>
      </c>
      <c r="P2016" s="33" t="s">
        <v>3655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>
      <c r="A2017" s="30">
        <v>46192</v>
      </c>
      <c r="B2017" s="30">
        <v>46204</v>
      </c>
      <c r="C2017" s="31">
        <v>61521090</v>
      </c>
      <c r="D2017" s="30" t="str">
        <f>IFERROR(VLOOKUP(Tabela5[[#This Row],[PREFIXO ]],Tabela4[#All],2,0),"CENTRO DE CUSTO")</f>
        <v>PA CARREGADEIRA JOHN DEERE 524 K II</v>
      </c>
      <c r="E2017" s="33" t="s">
        <v>173</v>
      </c>
      <c r="F2017" s="31">
        <v>1147</v>
      </c>
      <c r="G2017" s="32">
        <v>3204</v>
      </c>
      <c r="H2017" s="32">
        <v>4161.6099999999997</v>
      </c>
      <c r="I2017" s="32">
        <f t="shared" si="32"/>
        <v>7365.61</v>
      </c>
      <c r="J2017" s="33" t="s">
        <v>1262</v>
      </c>
      <c r="K2017" s="33" t="s">
        <v>4728</v>
      </c>
      <c r="L2017" s="33" t="s">
        <v>4729</v>
      </c>
      <c r="M2017" s="33" t="s">
        <v>4730</v>
      </c>
      <c r="N2017" s="30">
        <v>46205</v>
      </c>
      <c r="O2017" s="33" t="s">
        <v>4731</v>
      </c>
      <c r="P2017" s="33" t="s">
        <v>4183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>
      <c r="A2018" s="30">
        <v>46188</v>
      </c>
      <c r="B2018" s="30">
        <v>46196</v>
      </c>
      <c r="C2018" s="31">
        <v>61521011</v>
      </c>
      <c r="D2018" s="30" t="str">
        <f>IFERROR(VLOOKUP(Tabela5[[#This Row],[PREFIXO ]],Tabela4[#All],2,0),"CENTRO DE CUSTO")</f>
        <v>CAM COMBOIO MERC BENZ ATRON 2729</v>
      </c>
      <c r="E2018" s="33" t="s">
        <v>121</v>
      </c>
      <c r="F2018" s="31">
        <v>90</v>
      </c>
      <c r="G2018" s="32">
        <v>1662.5</v>
      </c>
      <c r="H2018" s="32">
        <v>3233.96</v>
      </c>
      <c r="I2018" s="32">
        <f t="shared" si="32"/>
        <v>4896.46</v>
      </c>
      <c r="J2018" s="33" t="s">
        <v>1196</v>
      </c>
      <c r="K2018" s="33" t="s">
        <v>4732</v>
      </c>
      <c r="L2018" s="33" t="s">
        <v>4733</v>
      </c>
      <c r="M2018" s="33" t="s">
        <v>4734</v>
      </c>
      <c r="N2018" s="30">
        <v>46197</v>
      </c>
      <c r="O2018" s="33" t="s">
        <v>3180</v>
      </c>
      <c r="P2018" s="33" t="s">
        <v>3655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>
      <c r="A2019" s="30">
        <v>46195</v>
      </c>
      <c r="B2019" s="30">
        <v>46204</v>
      </c>
      <c r="C2019" s="31">
        <v>81521293</v>
      </c>
      <c r="D2019" s="30" t="str">
        <f>IFERROR(VLOOKUP(Tabela5[[#This Row],[PREFIXO ]],Tabela4[#All],2,0),"CENTRO DE CUSTO")</f>
        <v>SUBSOLADOR GTS TERRUS COTTON 19H</v>
      </c>
      <c r="E2019" s="33" t="s">
        <v>96</v>
      </c>
      <c r="F2019" s="31" t="s">
        <v>4735</v>
      </c>
      <c r="G2019" s="32">
        <v>657</v>
      </c>
      <c r="H2019" s="32">
        <v>583.69000000000005</v>
      </c>
      <c r="I2019" s="32">
        <f t="shared" si="32"/>
        <v>1240.69</v>
      </c>
      <c r="J2019" s="33" t="s">
        <v>1196</v>
      </c>
      <c r="K2019" s="33" t="s">
        <v>4736</v>
      </c>
      <c r="L2019" s="33" t="s">
        <v>4737</v>
      </c>
      <c r="M2019" s="33" t="s">
        <v>4738</v>
      </c>
      <c r="N2019" s="30">
        <v>46205</v>
      </c>
      <c r="O2019" s="33" t="s">
        <v>4739</v>
      </c>
      <c r="P2019" s="33" t="s">
        <v>4454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>
      <c r="A2020" s="30">
        <v>46195</v>
      </c>
      <c r="B2020" s="30">
        <v>46204</v>
      </c>
      <c r="C2020" s="31">
        <v>8173078</v>
      </c>
      <c r="D2020" s="30" t="str">
        <f>IFERROR(VLOOKUP(Tabela5[[#This Row],[PREFIXO ]],Tabela4[#All],2,0),"CENTRO DE CUSTO")</f>
        <v>GRADE NIVELADORA CIVEMASA 28X22''</v>
      </c>
      <c r="E2020" s="33" t="s">
        <v>96</v>
      </c>
      <c r="F2020" s="31" t="s">
        <v>4740</v>
      </c>
      <c r="G2020" s="32">
        <v>585</v>
      </c>
      <c r="H2020" s="32">
        <v>252.77</v>
      </c>
      <c r="I2020" s="32">
        <f t="shared" si="32"/>
        <v>837.77</v>
      </c>
      <c r="J2020" s="18" t="s">
        <v>1196</v>
      </c>
      <c r="K2020" s="33" t="s">
        <v>4741</v>
      </c>
      <c r="L2020" s="33" t="s">
        <v>4742</v>
      </c>
      <c r="M2020" s="33" t="s">
        <v>4743</v>
      </c>
      <c r="N2020" s="30">
        <v>46204</v>
      </c>
      <c r="O2020" s="33"/>
      <c r="P2020" s="33"/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FALTA NF</v>
      </c>
      <c r="R2020" s="33"/>
    </row>
    <row r="2021" spans="1:18">
      <c r="A2021" s="30">
        <v>46188</v>
      </c>
      <c r="B2021" s="30">
        <v>46195</v>
      </c>
      <c r="C2021" s="31">
        <v>51521063</v>
      </c>
      <c r="D2021" s="30" t="str">
        <f>IFERROR(VLOOKUP(Tabela5[[#This Row],[PREFIXO ]],Tabela4[#All],2,0),"CENTRO DE CUSTO")</f>
        <v>COLHED ALGODÃO JOHN DEERE CP 690</v>
      </c>
      <c r="E2021" s="33" t="s">
        <v>173</v>
      </c>
      <c r="F2021" s="31">
        <v>1011</v>
      </c>
      <c r="G2021" s="32">
        <v>3844</v>
      </c>
      <c r="H2021" s="32">
        <v>31736.9</v>
      </c>
      <c r="I2021" s="32">
        <f t="shared" si="32"/>
        <v>35580.9</v>
      </c>
      <c r="J2021" s="18" t="s">
        <v>1120</v>
      </c>
      <c r="K2021" s="33" t="s">
        <v>4744</v>
      </c>
      <c r="L2021" s="33" t="s">
        <v>4745</v>
      </c>
      <c r="M2021" s="33" t="s">
        <v>4746</v>
      </c>
      <c r="N2021" s="30">
        <v>46205</v>
      </c>
      <c r="O2021" s="33" t="s">
        <v>4747</v>
      </c>
      <c r="P2021" s="33" t="s">
        <v>4183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>
      <c r="A2022" s="30">
        <v>46188</v>
      </c>
      <c r="B2022" s="30">
        <v>46195</v>
      </c>
      <c r="C2022" s="31">
        <v>51521045</v>
      </c>
      <c r="D2022" s="30" t="str">
        <f>IFERROR(VLOOKUP(Tabela5[[#This Row],[PREFIXO ]],Tabela4[#All],2,0),"CENTRO DE CUSTO")</f>
        <v>COLHED ALGODÃO JOHN DEERE CP 690</v>
      </c>
      <c r="E2022" s="33" t="s">
        <v>173</v>
      </c>
      <c r="F2022" s="31">
        <v>1010</v>
      </c>
      <c r="G2022" s="32">
        <v>939</v>
      </c>
      <c r="H2022" s="32">
        <v>18297</v>
      </c>
      <c r="I2022" s="32">
        <f t="shared" si="32"/>
        <v>19236</v>
      </c>
      <c r="J2022" s="33" t="s">
        <v>1120</v>
      </c>
      <c r="K2022" s="33" t="s">
        <v>4748</v>
      </c>
      <c r="L2022" s="33" t="s">
        <v>4749</v>
      </c>
      <c r="M2022" s="33" t="s">
        <v>4750</v>
      </c>
      <c r="N2022" s="30">
        <v>46198</v>
      </c>
      <c r="O2022" s="33" t="s">
        <v>4751</v>
      </c>
      <c r="P2022" s="33" t="s">
        <v>4183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>
      <c r="A2023" s="30">
        <v>46195</v>
      </c>
      <c r="B2023" s="30">
        <v>46204</v>
      </c>
      <c r="C2023" s="31">
        <v>1173019</v>
      </c>
      <c r="D2023" s="30" t="str">
        <f>IFERROR(VLOOKUP(Tabela5[[#This Row],[PREFIXO ]],Tabela4[#All],2,0),"CENTRO DE CUSTO")</f>
        <v>TRAT PN MED N.HOLLAND 7630</v>
      </c>
      <c r="E2023" s="33" t="s">
        <v>373</v>
      </c>
      <c r="F2023" s="31">
        <v>447</v>
      </c>
      <c r="G2023" s="32">
        <v>1080</v>
      </c>
      <c r="H2023" s="32">
        <v>6262.73</v>
      </c>
      <c r="I2023" s="32">
        <f t="shared" si="32"/>
        <v>7342.73</v>
      </c>
      <c r="J2023" s="33" t="s">
        <v>1196</v>
      </c>
      <c r="K2023" s="33" t="s">
        <v>4752</v>
      </c>
      <c r="L2023" s="33" t="s">
        <v>4753</v>
      </c>
      <c r="M2023" s="33" t="s">
        <v>4754</v>
      </c>
      <c r="N2023" s="30">
        <v>46205</v>
      </c>
      <c r="O2023" s="33" t="s">
        <v>4646</v>
      </c>
      <c r="P2023" s="33" t="s">
        <v>4454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>
      <c r="A2024" s="30">
        <v>46188</v>
      </c>
      <c r="B2024" s="30">
        <v>46192</v>
      </c>
      <c r="C2024" s="31">
        <v>51521063</v>
      </c>
      <c r="D2024" s="30" t="str">
        <f>IFERROR(VLOOKUP(Tabela5[[#This Row],[PREFIXO ]],Tabela4[#All],2,0),"CENTRO DE CUSTO")</f>
        <v>COLHED ALGODÃO JOHN DEERE CP 690</v>
      </c>
      <c r="E2024" s="33" t="s">
        <v>17</v>
      </c>
      <c r="F2024" s="31">
        <v>44637</v>
      </c>
      <c r="G2024" s="32">
        <v>3552.5</v>
      </c>
      <c r="H2024" s="32">
        <v>2177.64</v>
      </c>
      <c r="I2024" s="32">
        <f t="shared" si="32"/>
        <v>5730.1399999999994</v>
      </c>
      <c r="J2024" s="33" t="s">
        <v>1120</v>
      </c>
      <c r="K2024" s="33" t="s">
        <v>4755</v>
      </c>
      <c r="L2024" s="33" t="s">
        <v>4756</v>
      </c>
      <c r="M2024" s="33" t="s">
        <v>4757</v>
      </c>
      <c r="N2024" s="30">
        <v>46195</v>
      </c>
      <c r="O2024" s="33" t="s">
        <v>4758</v>
      </c>
      <c r="P2024" s="33" t="s">
        <v>3594</v>
      </c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CONCLUÍDO</v>
      </c>
      <c r="R2024" s="33"/>
    </row>
    <row r="2025" spans="1:18">
      <c r="A2025" s="30">
        <v>46188</v>
      </c>
      <c r="B2025" s="30">
        <v>46195</v>
      </c>
      <c r="C2025" s="31">
        <v>500580088</v>
      </c>
      <c r="D2025" s="30" t="str">
        <f>IFERROR(VLOOKUP(Tabela5[[#This Row],[PREFIXO ]],Tabela4[#All],2,0),"CENTRO DE CUSTO")</f>
        <v>Ônibus</v>
      </c>
      <c r="E2025" s="33" t="s">
        <v>249</v>
      </c>
      <c r="F2025" s="31">
        <v>249</v>
      </c>
      <c r="G2025" s="32">
        <v>10850</v>
      </c>
      <c r="H2025" s="32"/>
      <c r="I2025" s="32">
        <f t="shared" si="32"/>
        <v>10850</v>
      </c>
      <c r="J2025" s="33" t="s">
        <v>1196</v>
      </c>
      <c r="K2025" s="33" t="s">
        <v>4759</v>
      </c>
      <c r="L2025" s="33" t="s">
        <v>4760</v>
      </c>
      <c r="M2025" s="33" t="s">
        <v>4761</v>
      </c>
      <c r="N2025" s="30">
        <v>46196</v>
      </c>
      <c r="O2025" s="33" t="s">
        <v>2412</v>
      </c>
      <c r="P2025" s="33" t="s">
        <v>3594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1077</v>
      </c>
      <c r="K2026" s="33" t="s">
        <v>4762</v>
      </c>
      <c r="L2026" s="33" t="s">
        <v>4763</v>
      </c>
      <c r="M2026" s="33" t="s">
        <v>4764</v>
      </c>
      <c r="N2026" s="30">
        <v>46205</v>
      </c>
      <c r="O2026" s="33" t="s">
        <v>4765</v>
      </c>
      <c r="P2026" s="33" t="s">
        <v>3726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>
      <c r="A2027" s="30">
        <v>46196</v>
      </c>
      <c r="B2027" s="30">
        <v>46204</v>
      </c>
      <c r="C2027" s="31">
        <v>61521081</v>
      </c>
      <c r="D2027" s="30" t="str">
        <f>IFERROR(VLOOKUP(Tabela5[[#This Row],[PREFIXO ]],Tabela4[#All],2,0),"CENTRO DE CUSTO")</f>
        <v>CAV MEC EXT PES VOLVO FH 540</v>
      </c>
      <c r="E2027" s="33" t="s">
        <v>24</v>
      </c>
      <c r="F2027" s="31">
        <v>7711</v>
      </c>
      <c r="G2027" s="32">
        <v>1170.4000000000001</v>
      </c>
      <c r="H2027" s="32"/>
      <c r="I2027" s="32">
        <f t="shared" si="32"/>
        <v>1170.4000000000001</v>
      </c>
      <c r="J2027" s="33" t="s">
        <v>1196</v>
      </c>
      <c r="K2027" s="33" t="s">
        <v>4766</v>
      </c>
      <c r="L2027" s="33" t="s">
        <v>4767</v>
      </c>
      <c r="M2027" s="33" t="s">
        <v>4768</v>
      </c>
      <c r="N2027" s="30">
        <v>46205</v>
      </c>
      <c r="O2027" s="33"/>
      <c r="P2027" s="33"/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FALTA NF</v>
      </c>
      <c r="R2027" s="33"/>
    </row>
    <row r="2028" spans="1:18">
      <c r="A2028" s="30">
        <v>46199</v>
      </c>
      <c r="B2028" s="30">
        <v>46205</v>
      </c>
      <c r="C2028" s="31">
        <v>31521013</v>
      </c>
      <c r="D2028" s="30" t="str">
        <f>IFERROR(VLOOKUP(Tabela5[[#This Row],[PREFIXO ]],Tabela4[#All],2,0),"CENTRO DE CUSTO")</f>
        <v>PULV AUTOPROP JACTO UNIPORT 3030</v>
      </c>
      <c r="E2028" s="33" t="s">
        <v>34</v>
      </c>
      <c r="F2028" s="31" t="s">
        <v>4769</v>
      </c>
      <c r="G2028" s="32">
        <v>750</v>
      </c>
      <c r="H2028" s="32">
        <v>3330</v>
      </c>
      <c r="I2028" s="32">
        <f t="shared" si="32"/>
        <v>4080</v>
      </c>
      <c r="J2028" s="33" t="s">
        <v>1077</v>
      </c>
      <c r="K2028" s="33" t="s">
        <v>4770</v>
      </c>
      <c r="L2028" s="33" t="s">
        <v>4771</v>
      </c>
      <c r="M2028" s="33" t="s">
        <v>4772</v>
      </c>
      <c r="N2028" s="30">
        <v>46206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>
      <c r="A2029" s="30">
        <v>46184</v>
      </c>
      <c r="B2029" s="30">
        <v>46192</v>
      </c>
      <c r="C2029" s="31">
        <v>51521070</v>
      </c>
      <c r="D2029" s="30" t="str">
        <f>IFERROR(VLOOKUP(Tabela5[[#This Row],[PREFIXO ]],Tabela4[#All],2,0),"CENTRO DE CUSTO")</f>
        <v>COLHED ALGODÃO JOHN DEERE CP 690</v>
      </c>
      <c r="E2029" s="33" t="s">
        <v>17</v>
      </c>
      <c r="F2029" s="31">
        <v>44442</v>
      </c>
      <c r="G2029" s="32">
        <v>4604.4799999999996</v>
      </c>
      <c r="H2029" s="32">
        <v>51896.85</v>
      </c>
      <c r="I2029" s="32">
        <f t="shared" si="32"/>
        <v>56501.33</v>
      </c>
      <c r="J2029" s="33" t="s">
        <v>1120</v>
      </c>
      <c r="K2029" s="33" t="s">
        <v>4773</v>
      </c>
      <c r="L2029" s="33" t="s">
        <v>4774</v>
      </c>
      <c r="M2029" s="33" t="s">
        <v>4775</v>
      </c>
      <c r="N2029" s="30">
        <v>46194</v>
      </c>
      <c r="O2029" s="33" t="s">
        <v>4776</v>
      </c>
      <c r="P2029" s="33" t="s">
        <v>4777</v>
      </c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CONCLUÍDO</v>
      </c>
      <c r="R2029" s="33"/>
    </row>
    <row r="2030" spans="1:18">
      <c r="A2030" s="30">
        <v>46184</v>
      </c>
      <c r="B2030" s="30">
        <v>46192</v>
      </c>
      <c r="C2030" s="31">
        <v>51521045</v>
      </c>
      <c r="D2030" s="30" t="str">
        <f>IFERROR(VLOOKUP(Tabela5[[#This Row],[PREFIXO ]],Tabela4[#All],2,0),"CENTRO DE CUSTO")</f>
        <v>COLHED ALGODÃO JOHN DEERE CP 690</v>
      </c>
      <c r="E2030" s="33" t="s">
        <v>17</v>
      </c>
      <c r="F2030" s="31">
        <v>44435</v>
      </c>
      <c r="G2030" s="32">
        <v>6938.12</v>
      </c>
      <c r="H2030" s="32">
        <v>51896.85</v>
      </c>
      <c r="I2030" s="32">
        <f t="shared" si="32"/>
        <v>58834.97</v>
      </c>
      <c r="J2030" s="33" t="s">
        <v>1120</v>
      </c>
      <c r="K2030" s="33" t="s">
        <v>4778</v>
      </c>
      <c r="L2030" s="33" t="s">
        <v>4779</v>
      </c>
      <c r="M2030" s="33" t="s">
        <v>4780</v>
      </c>
      <c r="N2030" s="30">
        <v>46194</v>
      </c>
      <c r="O2030" s="33" t="s">
        <v>4781</v>
      </c>
      <c r="P2030" s="33" t="s">
        <v>3594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>
      <c r="A2031" s="30">
        <v>46184</v>
      </c>
      <c r="B2031" s="30">
        <v>46192</v>
      </c>
      <c r="C2031" s="31">
        <v>81521193</v>
      </c>
      <c r="D2031" s="30" t="str">
        <f>IFERROR(VLOOKUP(Tabela5[[#This Row],[PREFIXO ]],Tabela4[#All],2,0),"CENTRO DE CUSTO")</f>
        <v>TERRACEADOR ECO AGRICOLA ELEVA 42</v>
      </c>
      <c r="E2031" s="33" t="s">
        <v>96</v>
      </c>
      <c r="F2031" s="31" t="s">
        <v>4782</v>
      </c>
      <c r="G2031" s="32">
        <v>3411</v>
      </c>
      <c r="H2031" s="32">
        <v>2403.0300000000002</v>
      </c>
      <c r="I2031" s="32">
        <f t="shared" si="32"/>
        <v>5814.0300000000007</v>
      </c>
      <c r="J2031" s="33" t="s">
        <v>1196</v>
      </c>
      <c r="K2031" s="33" t="s">
        <v>4783</v>
      </c>
      <c r="L2031" s="33" t="s">
        <v>4784</v>
      </c>
      <c r="M2031" s="33" t="s">
        <v>4785</v>
      </c>
      <c r="N2031" s="30">
        <v>46192</v>
      </c>
      <c r="O2031" s="33" t="s">
        <v>4786</v>
      </c>
      <c r="P2031" s="33" t="s">
        <v>3594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>
      <c r="A2032" s="30">
        <v>46184</v>
      </c>
      <c r="B2032" s="30">
        <v>46192</v>
      </c>
      <c r="C2032" s="31">
        <v>51521060</v>
      </c>
      <c r="D2032" s="30" t="str">
        <f>IFERROR(VLOOKUP(Tabela5[[#This Row],[PREFIXO ]],Tabela4[#All],2,0),"CENTRO DE CUSTO")</f>
        <v>COLHED ALGODÃO JOHN DEERE CP 690</v>
      </c>
      <c r="E2032" s="33" t="s">
        <v>17</v>
      </c>
      <c r="F2032" s="31">
        <v>44439</v>
      </c>
      <c r="G2032" s="32">
        <v>4350</v>
      </c>
      <c r="H2032" s="32">
        <v>51896.85</v>
      </c>
      <c r="I2032" s="32">
        <f t="shared" si="32"/>
        <v>56246.85</v>
      </c>
      <c r="J2032" s="33" t="s">
        <v>1120</v>
      </c>
      <c r="K2032" s="33" t="s">
        <v>4787</v>
      </c>
      <c r="L2032" s="33" t="s">
        <v>4788</v>
      </c>
      <c r="M2032" s="33" t="s">
        <v>4789</v>
      </c>
      <c r="N2032" s="30">
        <v>46195</v>
      </c>
      <c r="O2032" s="33" t="s">
        <v>4790</v>
      </c>
      <c r="P2032" s="33" t="s">
        <v>3655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>
      <c r="A2033" s="30">
        <v>46178</v>
      </c>
      <c r="B2033" s="30">
        <v>46192</v>
      </c>
      <c r="C2033" s="31">
        <v>11040021</v>
      </c>
      <c r="D2033" s="30" t="str">
        <f>IFERROR(VLOOKUP(Tabela5[[#This Row],[PREFIXO ]],Tabela4[#All],2,0),"CENTRO DE CUSTO")</f>
        <v>CAV MEC EXT PES SCANIA R500</v>
      </c>
      <c r="E2033" s="33" t="s">
        <v>96</v>
      </c>
      <c r="F2033" s="31" t="s">
        <v>4791</v>
      </c>
      <c r="G2033" s="32">
        <v>100</v>
      </c>
      <c r="H2033" s="42">
        <v>448.47</v>
      </c>
      <c r="I2033" s="32">
        <f t="shared" si="32"/>
        <v>548.47</v>
      </c>
      <c r="J2033" s="33" t="s">
        <v>1082</v>
      </c>
      <c r="K2033" s="33" t="s">
        <v>4792</v>
      </c>
      <c r="L2033" s="33" t="s">
        <v>4793</v>
      </c>
      <c r="M2033" s="33" t="s">
        <v>4794</v>
      </c>
      <c r="N2033" s="30">
        <v>46192</v>
      </c>
      <c r="O2033" s="33" t="s">
        <v>4795</v>
      </c>
      <c r="P2033" s="33" t="s">
        <v>4454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>
      <c r="A2034" s="30">
        <v>46188</v>
      </c>
      <c r="B2034" s="30">
        <v>46192</v>
      </c>
      <c r="C2034" s="31">
        <v>51519058</v>
      </c>
      <c r="D2034" s="30" t="str">
        <f>IFERROR(VLOOKUP(Tabela5[[#This Row],[PREFIXO ]],Tabela4[#All],2,0),"CENTRO DE CUSTO")</f>
        <v>CENTRO DE CUSTO</v>
      </c>
      <c r="E2034" s="33" t="s">
        <v>17</v>
      </c>
      <c r="F2034" s="31">
        <v>44450</v>
      </c>
      <c r="G2034" s="32">
        <v>6095</v>
      </c>
      <c r="H2034" s="32">
        <v>2177.64</v>
      </c>
      <c r="I2034" s="32">
        <f t="shared" si="32"/>
        <v>8272.64</v>
      </c>
      <c r="J2034" s="33" t="s">
        <v>1120</v>
      </c>
      <c r="K2034" s="33" t="s">
        <v>4796</v>
      </c>
      <c r="L2034" s="33" t="s">
        <v>4797</v>
      </c>
      <c r="M2034" s="33" t="s">
        <v>4798</v>
      </c>
      <c r="N2034" s="30">
        <v>46195</v>
      </c>
      <c r="O2034" s="33" t="s">
        <v>4799</v>
      </c>
      <c r="P2034" s="33" t="s">
        <v>3873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>
      <c r="A2035" s="30">
        <v>46197</v>
      </c>
      <c r="B2035" s="30"/>
      <c r="C2035" s="31">
        <v>61521067</v>
      </c>
      <c r="D2035" s="30" t="str">
        <f>IFERROR(VLOOKUP(Tabela5[[#This Row],[PREFIXO ]],Tabela4[#All],2,0),"CENTRO DE CUSTO")</f>
        <v>CAM ROLL ON/OFF VOLVO VM 330</v>
      </c>
      <c r="E2035" s="33" t="s">
        <v>22</v>
      </c>
      <c r="F2035" s="31">
        <v>36657</v>
      </c>
      <c r="G2035" s="32">
        <v>90</v>
      </c>
      <c r="H2035" s="32">
        <v>272</v>
      </c>
      <c r="I2035" s="32">
        <f t="shared" si="32"/>
        <v>362</v>
      </c>
      <c r="J2035" s="33" t="s">
        <v>1082</v>
      </c>
      <c r="K2035" s="33"/>
      <c r="L2035" s="33"/>
      <c r="M2035" s="33"/>
      <c r="N2035" s="30"/>
      <c r="O2035" s="33"/>
      <c r="P2035" s="33"/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FALTA LANÇAMENTO</v>
      </c>
      <c r="R2035" s="33"/>
    </row>
    <row r="2036" spans="1:18">
      <c r="A2036" s="30">
        <v>46184</v>
      </c>
      <c r="B2036" s="30">
        <v>46197</v>
      </c>
      <c r="C2036" s="31">
        <v>51521100</v>
      </c>
      <c r="D2036" s="30" t="str">
        <f>IFERROR(VLOOKUP(Tabela5[[#This Row],[PREFIXO ]],Tabela4[#All],2,0),"CENTRO DE CUSTO")</f>
        <v>COLHEIT DE GRÃOS N.HOLLAND CR 8.90</v>
      </c>
      <c r="E2036" s="33" t="s">
        <v>218</v>
      </c>
      <c r="F2036" s="31">
        <v>26803</v>
      </c>
      <c r="G2036" s="32">
        <v>18517.5</v>
      </c>
      <c r="H2036" s="32">
        <v>69784.17</v>
      </c>
      <c r="I2036" s="32">
        <f t="shared" si="32"/>
        <v>88301.67</v>
      </c>
      <c r="J2036" s="33" t="s">
        <v>1120</v>
      </c>
      <c r="K2036" s="33" t="s">
        <v>4800</v>
      </c>
      <c r="L2036" s="33" t="s">
        <v>4801</v>
      </c>
      <c r="M2036" s="33" t="s">
        <v>4802</v>
      </c>
      <c r="N2036" s="30">
        <v>46198</v>
      </c>
      <c r="O2036" s="33" t="s">
        <v>4803</v>
      </c>
      <c r="P2036" s="33" t="s">
        <v>4777</v>
      </c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CONCLUÍDO</v>
      </c>
      <c r="R2036" s="33"/>
    </row>
    <row r="2037" spans="1:18">
      <c r="A2037" s="30">
        <v>46199</v>
      </c>
      <c r="B2037" s="30">
        <v>46205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 t="s">
        <v>4804</v>
      </c>
      <c r="G2037" s="32">
        <v>850</v>
      </c>
      <c r="H2037" s="32">
        <v>940</v>
      </c>
      <c r="I2037" s="32">
        <f t="shared" si="32"/>
        <v>1790</v>
      </c>
      <c r="J2037" s="33" t="s">
        <v>1077</v>
      </c>
      <c r="K2037" s="33" t="s">
        <v>4805</v>
      </c>
      <c r="L2037" s="33" t="s">
        <v>4806</v>
      </c>
      <c r="M2037" s="33" t="s">
        <v>4807</v>
      </c>
      <c r="N2037" s="30">
        <v>46206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>
      <c r="A2038" s="30">
        <v>46199</v>
      </c>
      <c r="B2038" s="30">
        <v>46205</v>
      </c>
      <c r="C2038" s="31">
        <v>12010022</v>
      </c>
      <c r="D2038" s="30" t="str">
        <f>IFERROR(VLOOKUP(Tabela5[[#This Row],[PREFIXO ]],Tabela4[#All],2,0),"CENTRO DE CUSTO")</f>
        <v>CENTRO DE CUSTO</v>
      </c>
      <c r="E2038" s="33" t="s">
        <v>284</v>
      </c>
      <c r="F2038" s="31">
        <v>4882</v>
      </c>
      <c r="G2038" s="32">
        <v>876.57</v>
      </c>
      <c r="H2038" s="32">
        <v>1830.38</v>
      </c>
      <c r="I2038" s="32">
        <f t="shared" si="32"/>
        <v>2706.9500000000003</v>
      </c>
      <c r="J2038" s="33" t="s">
        <v>1082</v>
      </c>
      <c r="K2038" s="33" t="s">
        <v>4808</v>
      </c>
      <c r="L2038" s="33" t="s">
        <v>4809</v>
      </c>
      <c r="M2038" s="33" t="s">
        <v>4810</v>
      </c>
      <c r="N2038" s="39">
        <v>46206</v>
      </c>
      <c r="O2038" s="33"/>
      <c r="P2038" s="33"/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FALTA NF</v>
      </c>
      <c r="R2038" s="33"/>
    </row>
    <row r="2039" spans="1:18">
      <c r="A2039" s="30">
        <v>46197</v>
      </c>
      <c r="B2039" s="30">
        <v>46212</v>
      </c>
      <c r="C2039" s="31">
        <v>500580325</v>
      </c>
      <c r="D2039" s="30" t="str">
        <f>IFERROR(VLOOKUP(Tabela5[[#This Row],[PREFIXO ]],Tabela4[#All],2,0),"CENTRO DE CUSTO")</f>
        <v>Colheitad. Alg Auto</v>
      </c>
      <c r="E2039" s="33" t="s">
        <v>308</v>
      </c>
      <c r="F2039" s="31" t="s">
        <v>2612</v>
      </c>
      <c r="G2039" s="32">
        <v>18143</v>
      </c>
      <c r="H2039" s="32"/>
      <c r="I2039" s="32">
        <f t="shared" si="32"/>
        <v>18143</v>
      </c>
      <c r="J2039" s="33" t="s">
        <v>1120</v>
      </c>
      <c r="K2039" s="33" t="s">
        <v>4811</v>
      </c>
      <c r="L2039" s="33" t="s">
        <v>4812</v>
      </c>
      <c r="M2039" s="33" t="s">
        <v>4813</v>
      </c>
      <c r="N2039" s="41">
        <v>46213</v>
      </c>
      <c r="O2039" s="33"/>
      <c r="P2039" s="33"/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FALTA NF</v>
      </c>
      <c r="R2039" s="33"/>
    </row>
    <row r="2040" spans="1:18">
      <c r="A2040" s="30">
        <v>46197</v>
      </c>
      <c r="B2040" s="30">
        <v>46205</v>
      </c>
      <c r="C2040" s="31">
        <v>51519059</v>
      </c>
      <c r="D2040" s="30" t="str">
        <f>IFERROR(VLOOKUP(Tabela5[[#This Row],[PREFIXO ]],Tabela4[#All],2,0),"CENTRO DE CUSTO")</f>
        <v>CENTRO DE CUSTO</v>
      </c>
      <c r="E2040" s="33" t="s">
        <v>17</v>
      </c>
      <c r="F2040" s="31">
        <v>44381</v>
      </c>
      <c r="G2040" s="32">
        <v>2729.63</v>
      </c>
      <c r="H2040" s="32"/>
      <c r="I2040" s="32">
        <f t="shared" si="32"/>
        <v>2729.63</v>
      </c>
      <c r="J2040" s="18" t="s">
        <v>1120</v>
      </c>
      <c r="K2040" s="33" t="s">
        <v>4814</v>
      </c>
      <c r="L2040" s="33" t="s">
        <v>4815</v>
      </c>
      <c r="M2040" s="33" t="s">
        <v>4816</v>
      </c>
      <c r="N2040" s="41">
        <v>46206</v>
      </c>
      <c r="O2040" s="33"/>
      <c r="P2040" s="33"/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FALTA NF</v>
      </c>
      <c r="R2040" s="33"/>
    </row>
    <row r="2041" spans="1:18">
      <c r="A2041" s="30">
        <v>46197</v>
      </c>
      <c r="B2041" s="30">
        <v>46205</v>
      </c>
      <c r="C2041" s="31">
        <v>23180059</v>
      </c>
      <c r="D2041" s="30" t="str">
        <f>IFERROR(VLOOKUP(Tabela5[[#This Row],[PREFIXO ]],Tabela4[#All],2,0),"CENTRO DE CUSTO")</f>
        <v>COLHEIT DE GRÃOS JOHN DEERE S 780</v>
      </c>
      <c r="E2041" s="33" t="s">
        <v>17</v>
      </c>
      <c r="F2041" s="31">
        <v>43863</v>
      </c>
      <c r="G2041" s="32">
        <v>6485.97</v>
      </c>
      <c r="H2041" s="32"/>
      <c r="I2041" s="32">
        <f t="shared" si="32"/>
        <v>6485.97</v>
      </c>
      <c r="J2041" s="18" t="s">
        <v>1120</v>
      </c>
      <c r="K2041" s="33" t="s">
        <v>4817</v>
      </c>
      <c r="L2041" s="33" t="s">
        <v>4818</v>
      </c>
      <c r="M2041" s="33" t="s">
        <v>4819</v>
      </c>
      <c r="N2041" s="30">
        <v>46206</v>
      </c>
      <c r="O2041" s="33" t="s">
        <v>4820</v>
      </c>
      <c r="P2041" s="33" t="s">
        <v>3590</v>
      </c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CONCLUÍDO</v>
      </c>
      <c r="R2041" s="33"/>
    </row>
    <row r="2042" spans="1:18">
      <c r="A2042" s="30">
        <v>46197</v>
      </c>
      <c r="B2042" s="30">
        <v>46205</v>
      </c>
      <c r="C2042" s="31">
        <v>61521083</v>
      </c>
      <c r="D2042" s="30" t="str">
        <f>IFERROR(VLOOKUP(Tabela5[[#This Row],[PREFIXO ]],Tabela4[#All],2,0),"CENTRO DE CUSTO")</f>
        <v>CAM COMBOIO VOLVO VM 330</v>
      </c>
      <c r="E2042" s="33" t="s">
        <v>249</v>
      </c>
      <c r="F2042" s="31">
        <v>253</v>
      </c>
      <c r="G2042" s="32">
        <v>3675</v>
      </c>
      <c r="H2042" s="32"/>
      <c r="I2042" s="32">
        <f t="shared" si="32"/>
        <v>3675</v>
      </c>
      <c r="J2042" s="33" t="s">
        <v>1196</v>
      </c>
      <c r="K2042" s="33" t="s">
        <v>4821</v>
      </c>
      <c r="L2042" s="33" t="s">
        <v>4822</v>
      </c>
      <c r="M2042" s="33" t="s">
        <v>4823</v>
      </c>
      <c r="N2042" s="30">
        <v>46205</v>
      </c>
      <c r="O2042" s="33" t="s">
        <v>4824</v>
      </c>
      <c r="P2042" s="33" t="s">
        <v>4183</v>
      </c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CONCLUÍDO</v>
      </c>
      <c r="R2042" s="33"/>
    </row>
    <row r="2043" spans="1:18">
      <c r="A2043" s="30">
        <v>46197</v>
      </c>
      <c r="B2043" s="30">
        <v>46205</v>
      </c>
      <c r="C2043" s="31" t="s">
        <v>4825</v>
      </c>
      <c r="D2043" s="30" t="str">
        <f>IFERROR(VLOOKUP(Tabela5[[#This Row],[PREFIXO ]],Tabela4[#All],2,0),"CENTRO DE CUSTO")</f>
        <v>CENTRO DE CUSTO</v>
      </c>
      <c r="E2043" s="33" t="s">
        <v>249</v>
      </c>
      <c r="F2043" s="31">
        <v>252</v>
      </c>
      <c r="G2043" s="32">
        <v>14700</v>
      </c>
      <c r="H2043" s="32"/>
      <c r="I2043" s="32">
        <f t="shared" si="32"/>
        <v>14700</v>
      </c>
      <c r="J2043" s="33" t="s">
        <v>1196</v>
      </c>
      <c r="K2043" s="33" t="s">
        <v>4826</v>
      </c>
      <c r="L2043" s="33" t="s">
        <v>4827</v>
      </c>
      <c r="M2043" s="33" t="s">
        <v>4828</v>
      </c>
      <c r="N2043" s="30">
        <v>46205</v>
      </c>
      <c r="O2043" s="33" t="s">
        <v>4829</v>
      </c>
      <c r="P2043" s="33" t="s">
        <v>4183</v>
      </c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CONCLUÍDO</v>
      </c>
      <c r="R2043" s="33"/>
    </row>
    <row r="2044" spans="1:18">
      <c r="A2044" s="30">
        <v>46197</v>
      </c>
      <c r="B2044" s="30">
        <v>46212</v>
      </c>
      <c r="C2044" s="31">
        <v>23220009</v>
      </c>
      <c r="D2044" s="30" t="str">
        <f>IFERROR(VLOOKUP(Tabela5[[#This Row],[PREFIXO ]],Tabela4[#All],2,0),"CENTRO DE CUSTO")</f>
        <v>CENTRO DE CUSTO</v>
      </c>
      <c r="E2044" s="33" t="s">
        <v>162</v>
      </c>
      <c r="F2044" s="31">
        <v>30160</v>
      </c>
      <c r="G2044" s="32">
        <v>4700</v>
      </c>
      <c r="H2044" s="32"/>
      <c r="I2044" s="32">
        <f t="shared" ref="I2044:I2107" si="33">G2044+H2044</f>
        <v>4700</v>
      </c>
      <c r="J2044" s="33" t="s">
        <v>1120</v>
      </c>
      <c r="K2044" s="33" t="s">
        <v>4830</v>
      </c>
      <c r="L2044" s="33" t="s">
        <v>4831</v>
      </c>
      <c r="M2044" s="33" t="s">
        <v>4832</v>
      </c>
      <c r="N2044" s="30">
        <v>46213</v>
      </c>
      <c r="O2044" s="33"/>
      <c r="P2044" s="33"/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FALTA NF</v>
      </c>
      <c r="R2044" s="33"/>
    </row>
    <row r="2045" spans="1:18">
      <c r="A2045" s="30">
        <v>46185</v>
      </c>
      <c r="B2045" s="30">
        <v>46185</v>
      </c>
      <c r="C2045" s="31">
        <v>5005800579</v>
      </c>
      <c r="D2045" s="30" t="str">
        <f>IFERROR(VLOOKUP(Tabela5[[#This Row],[PREFIXO ]],Tabela4[#All],2,0),"CENTRO DE CUSTO")</f>
        <v>CENTRO DE CUSTO</v>
      </c>
      <c r="E2045" s="33" t="s">
        <v>224</v>
      </c>
      <c r="F2045" s="31" t="s">
        <v>4833</v>
      </c>
      <c r="G2045" s="32">
        <v>5890</v>
      </c>
      <c r="H2045" s="32"/>
      <c r="I2045" s="32">
        <f t="shared" si="33"/>
        <v>5890</v>
      </c>
      <c r="J2045" s="33" t="s">
        <v>3657</v>
      </c>
      <c r="K2045" s="33"/>
      <c r="L2045" s="33" t="s">
        <v>4834</v>
      </c>
      <c r="M2045" s="33" t="s">
        <v>4835</v>
      </c>
      <c r="N2045" s="30">
        <v>46190</v>
      </c>
      <c r="O2045" s="33" t="s">
        <v>3706</v>
      </c>
      <c r="P2045" s="33" t="s">
        <v>3873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>
      <c r="A2046" s="30">
        <v>46175</v>
      </c>
      <c r="B2046" s="30">
        <v>46185</v>
      </c>
      <c r="C2046" s="31">
        <v>61521064</v>
      </c>
      <c r="D2046" s="30" t="str">
        <f>IFERROR(VLOOKUP(Tabela5[[#This Row],[PREFIXO ]],Tabela4[#All],2,0),"CENTRO DE CUSTO")</f>
        <v>CAM ROLL ON/OFF VOLVO VM 330</v>
      </c>
      <c r="E2046" s="33" t="s">
        <v>29</v>
      </c>
      <c r="F2046" s="31">
        <v>55635</v>
      </c>
      <c r="G2046" s="32">
        <v>33082</v>
      </c>
      <c r="H2046" s="32">
        <v>36331</v>
      </c>
      <c r="I2046" s="32">
        <f t="shared" si="33"/>
        <v>69413</v>
      </c>
      <c r="J2046" s="18" t="s">
        <v>1082</v>
      </c>
      <c r="K2046" s="33" t="s">
        <v>4836</v>
      </c>
      <c r="L2046" s="33" t="s">
        <v>4837</v>
      </c>
      <c r="M2046" s="33">
        <v>41891432</v>
      </c>
      <c r="N2046" s="30">
        <v>46192</v>
      </c>
      <c r="O2046" s="33" t="s">
        <v>4838</v>
      </c>
      <c r="P2046" s="33" t="s">
        <v>3568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>
      <c r="A2047" s="30">
        <v>46184</v>
      </c>
      <c r="B2047" s="30">
        <v>46184</v>
      </c>
      <c r="C2047" s="31">
        <v>22080166</v>
      </c>
      <c r="D2047" s="30" t="str">
        <f>IFERROR(VLOOKUP(Tabela5[[#This Row],[PREFIXO ]],Tabela4[#All],2,0),"CENTRO DE CUSTO")</f>
        <v>CENTRO DE CUSTO</v>
      </c>
      <c r="E2047" s="33" t="s">
        <v>39</v>
      </c>
      <c r="F2047" s="31">
        <v>22080166</v>
      </c>
      <c r="G2047" s="32">
        <v>1900</v>
      </c>
      <c r="H2047" s="32"/>
      <c r="I2047" s="32">
        <f t="shared" si="33"/>
        <v>1900</v>
      </c>
      <c r="J2047" s="18" t="s">
        <v>1196</v>
      </c>
      <c r="K2047" s="33" t="s">
        <v>4839</v>
      </c>
      <c r="L2047" s="33" t="s">
        <v>4840</v>
      </c>
      <c r="M2047" s="33" t="s">
        <v>4841</v>
      </c>
      <c r="N2047" s="30">
        <v>46185</v>
      </c>
      <c r="O2047" s="33" t="s">
        <v>4842</v>
      </c>
      <c r="P2047" s="33" t="s">
        <v>3281</v>
      </c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CONCLUÍDO</v>
      </c>
      <c r="R2047" s="33"/>
    </row>
    <row r="2048" spans="1:18">
      <c r="A2048" s="30">
        <v>46204</v>
      </c>
      <c r="B2048" s="30">
        <v>46206</v>
      </c>
      <c r="C2048" s="31" t="s">
        <v>4843</v>
      </c>
      <c r="D2048" s="30" t="str">
        <f>IFERROR(VLOOKUP(Tabela5[[#This Row],[PREFIXO ]],Tabela4[#All],2,0),"CENTRO DE CUSTO")</f>
        <v>CENTRO DE CUSTO</v>
      </c>
      <c r="E2048" s="33" t="s">
        <v>312</v>
      </c>
      <c r="F2048" s="31" t="s">
        <v>4844</v>
      </c>
      <c r="G2048" s="32">
        <v>39980.03</v>
      </c>
      <c r="H2048" s="32"/>
      <c r="I2048" s="32">
        <f t="shared" si="33"/>
        <v>39980.03</v>
      </c>
      <c r="J2048" s="18" t="s">
        <v>1196</v>
      </c>
      <c r="K2048" s="33" t="s">
        <v>1092</v>
      </c>
      <c r="L2048" s="33" t="s">
        <v>4845</v>
      </c>
      <c r="M2048" s="33" t="s">
        <v>4846</v>
      </c>
      <c r="N2048" s="30">
        <v>46209</v>
      </c>
      <c r="O2048" s="33" t="s">
        <v>4847</v>
      </c>
      <c r="P2048" s="33" t="s">
        <v>3556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>
      <c r="A2049" s="30">
        <v>46199</v>
      </c>
      <c r="B2049" s="30">
        <v>46206</v>
      </c>
      <c r="C2049" s="31">
        <v>500580081</v>
      </c>
      <c r="D2049" s="30" t="str">
        <f>IFERROR(VLOOKUP(Tabela5[[#This Row],[PREFIXO ]],Tabela4[#All],2,0),"CENTRO DE CUSTO")</f>
        <v>Semi-Reboque Tanque</v>
      </c>
      <c r="E2049" s="33" t="s">
        <v>249</v>
      </c>
      <c r="F2049" s="31">
        <v>251</v>
      </c>
      <c r="G2049" s="32">
        <v>12250</v>
      </c>
      <c r="H2049" s="32"/>
      <c r="I2049" s="32">
        <f t="shared" si="33"/>
        <v>12250</v>
      </c>
      <c r="J2049" s="18" t="s">
        <v>1196</v>
      </c>
      <c r="K2049" s="33" t="s">
        <v>4848</v>
      </c>
      <c r="L2049" s="33" t="s">
        <v>4849</v>
      </c>
      <c r="M2049" s="33" t="s">
        <v>4850</v>
      </c>
      <c r="N2049" s="30">
        <v>46209</v>
      </c>
      <c r="O2049" s="33" t="s">
        <v>3706</v>
      </c>
      <c r="P2049" s="33" t="s">
        <v>4851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>
      <c r="A2050" s="30">
        <v>46178</v>
      </c>
      <c r="B2050" s="30">
        <v>46188</v>
      </c>
      <c r="C2050" s="31">
        <v>11060002</v>
      </c>
      <c r="D2050" s="30" t="str">
        <f>IFERROR(VLOOKUP(Tabela5[[#This Row],[PREFIXO ]],Tabela4[#All],2,0),"CENTRO DE CUSTO")</f>
        <v>CENTRO DE CUSTO</v>
      </c>
      <c r="E2050" s="33" t="s">
        <v>227</v>
      </c>
      <c r="F2050" s="31" t="s">
        <v>4852</v>
      </c>
      <c r="G2050" s="32">
        <v>35000</v>
      </c>
      <c r="H2050" s="32">
        <v>32440.28</v>
      </c>
      <c r="I2050" s="32">
        <f t="shared" si="33"/>
        <v>67440.28</v>
      </c>
      <c r="J2050" s="18" t="s">
        <v>1082</v>
      </c>
      <c r="K2050" s="33" t="s">
        <v>4853</v>
      </c>
      <c r="L2050" s="33" t="s">
        <v>4854</v>
      </c>
      <c r="M2050" s="33" t="s">
        <v>4855</v>
      </c>
      <c r="N2050" s="30">
        <v>46190</v>
      </c>
      <c r="O2050" s="33" t="s">
        <v>4856</v>
      </c>
      <c r="P2050" s="33" t="s">
        <v>3759</v>
      </c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CONCLUÍDO</v>
      </c>
      <c r="R2050" s="33"/>
    </row>
    <row r="2051" spans="1:18">
      <c r="A2051" s="30">
        <v>46199</v>
      </c>
      <c r="B2051" s="30"/>
      <c r="C2051" s="31">
        <v>51521085</v>
      </c>
      <c r="D2051" s="30" t="str">
        <f>IFERROR(VLOOKUP(Tabela5[[#This Row],[PREFIXO ]],Tabela4[#All],2,0),"CENTRO DE CUSTO")</f>
        <v>COLHEIT DE GRÃOS N.HOLLAND CR 8.90</v>
      </c>
      <c r="E2051" s="33" t="s">
        <v>218</v>
      </c>
      <c r="F2051" s="31">
        <v>26730</v>
      </c>
      <c r="G2051" s="32">
        <v>1608</v>
      </c>
      <c r="H2051" s="32">
        <v>26064.76</v>
      </c>
      <c r="I2051" s="32">
        <f t="shared" si="33"/>
        <v>27672.76</v>
      </c>
      <c r="J2051" s="33" t="s">
        <v>1120</v>
      </c>
      <c r="K2051" s="33"/>
      <c r="L2051" s="33"/>
      <c r="M2051" s="33"/>
      <c r="N2051" s="30"/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LANÇAMENTO</v>
      </c>
      <c r="R2051" s="33"/>
    </row>
    <row r="2052" spans="1:18">
      <c r="A2052" s="30">
        <v>46205</v>
      </c>
      <c r="B2052" s="30">
        <v>46206</v>
      </c>
      <c r="C2052" s="31">
        <v>15048017</v>
      </c>
      <c r="D2052" s="30" t="str">
        <f>IFERROR(VLOOKUP(Tabela5[[#This Row],[PREFIXO ]],Tabela4[#All],2,0),"CENTRO DE CUSTO")</f>
        <v>CENTRO DE CUSTO</v>
      </c>
      <c r="E2052" s="33" t="s">
        <v>259</v>
      </c>
      <c r="F2052" s="31">
        <v>63309452</v>
      </c>
      <c r="G2052" s="32">
        <v>50.43</v>
      </c>
      <c r="H2052" s="32">
        <v>1435.97</v>
      </c>
      <c r="I2052" s="32">
        <f t="shared" si="33"/>
        <v>1486.4</v>
      </c>
      <c r="J2052" s="33" t="s">
        <v>1196</v>
      </c>
      <c r="K2052" s="33" t="s">
        <v>4857</v>
      </c>
      <c r="L2052" s="33" t="s">
        <v>4858</v>
      </c>
      <c r="M2052" s="33" t="s">
        <v>4859</v>
      </c>
      <c r="N2052" s="30">
        <v>46206</v>
      </c>
      <c r="O2052" s="33" t="s">
        <v>2554</v>
      </c>
      <c r="P2052" s="33" t="s">
        <v>3556</v>
      </c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CONCLUÍDO</v>
      </c>
      <c r="R2052" s="33"/>
    </row>
    <row r="2053" spans="1:18">
      <c r="A2053" s="30">
        <v>46181</v>
      </c>
      <c r="B2053" s="30">
        <v>46182</v>
      </c>
      <c r="C2053" s="31" t="s">
        <v>4860</v>
      </c>
      <c r="D2053" s="30" t="str">
        <f>IFERROR(VLOOKUP(Tabela5[[#This Row],[PREFIXO ]],Tabela4[#All],2,0),"CENTRO DE CUSTO")</f>
        <v>CENTRO DE CUSTO</v>
      </c>
      <c r="E2053" s="33" t="s">
        <v>252</v>
      </c>
      <c r="F2053" s="31">
        <v>202625</v>
      </c>
      <c r="G2053" s="32">
        <v>570</v>
      </c>
      <c r="H2053" s="32"/>
      <c r="I2053" s="32">
        <f t="shared" si="33"/>
        <v>570</v>
      </c>
      <c r="J2053" s="33" t="s">
        <v>1082</v>
      </c>
      <c r="K2053" s="33"/>
      <c r="L2053" s="33" t="s">
        <v>4861</v>
      </c>
      <c r="M2053" s="33" t="s">
        <v>4862</v>
      </c>
      <c r="N2053" s="30">
        <v>46183</v>
      </c>
      <c r="O2053" s="33" t="s">
        <v>4863</v>
      </c>
      <c r="P2053" s="33" t="s">
        <v>3759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>
      <c r="A2054" s="30">
        <v>46199</v>
      </c>
      <c r="B2054" s="30">
        <v>46216</v>
      </c>
      <c r="C2054" s="31">
        <v>13150007</v>
      </c>
      <c r="D2054" s="30" t="str">
        <f>IFERROR(VLOOKUP(Tabela5[[#This Row],[PREFIXO ]],Tabela4[#All],2,0),"CENTRO DE CUSTO")</f>
        <v>CENTRO DE CUSTO</v>
      </c>
      <c r="E2054" s="33" t="s">
        <v>363</v>
      </c>
      <c r="F2054" s="31" t="s">
        <v>4864</v>
      </c>
      <c r="G2054" s="32">
        <v>21000</v>
      </c>
      <c r="H2054" s="32"/>
      <c r="I2054" s="32">
        <f t="shared" si="33"/>
        <v>21000</v>
      </c>
      <c r="J2054" s="33" t="s">
        <v>1077</v>
      </c>
      <c r="K2054" s="33" t="s">
        <v>4865</v>
      </c>
      <c r="L2054" s="33" t="s">
        <v>4866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>
      <c r="A2055" s="30">
        <v>46199</v>
      </c>
      <c r="B2055" s="30"/>
      <c r="C2055" s="31">
        <v>500580100</v>
      </c>
      <c r="D2055" s="30" t="str">
        <f>IFERROR(VLOOKUP(Tabela5[[#This Row],[PREFIXO ]],Tabela4[#All],2,0),"CENTRO DE CUSTO")</f>
        <v>Autopropelidos</v>
      </c>
      <c r="E2055" s="33" t="s">
        <v>66</v>
      </c>
      <c r="F2055" s="31">
        <v>52051</v>
      </c>
      <c r="G2055" s="32"/>
      <c r="H2055" s="32">
        <v>21662.23</v>
      </c>
      <c r="I2055" s="32">
        <f t="shared" si="33"/>
        <v>21662.23</v>
      </c>
      <c r="J2055" s="33" t="s">
        <v>1077</v>
      </c>
      <c r="K2055" s="33"/>
      <c r="L2055" s="33"/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LANÇAMENTO</v>
      </c>
      <c r="R2055" s="33"/>
    </row>
    <row r="2056" spans="1:18">
      <c r="A2056" s="30">
        <v>46202</v>
      </c>
      <c r="B2056" s="30">
        <v>46210</v>
      </c>
      <c r="C2056" s="31">
        <v>51521068</v>
      </c>
      <c r="D2056" s="30" t="str">
        <f>IFERROR(VLOOKUP(Tabela5[[#This Row],[PREFIXO ]],Tabela4[#All],2,0),"CENTRO DE CUSTO")</f>
        <v>COLHED ALGODÃO JOHN DEERE CP 690</v>
      </c>
      <c r="E2056" s="33" t="s">
        <v>16</v>
      </c>
      <c r="F2056" s="31">
        <v>484</v>
      </c>
      <c r="G2056" s="32">
        <v>7980</v>
      </c>
      <c r="H2056" s="32"/>
      <c r="I2056" s="32">
        <f t="shared" si="33"/>
        <v>7980</v>
      </c>
      <c r="J2056" s="33" t="s">
        <v>1120</v>
      </c>
      <c r="K2056" s="33" t="s">
        <v>4867</v>
      </c>
      <c r="L2056" s="33" t="s">
        <v>4868</v>
      </c>
      <c r="M2056" s="33" t="s">
        <v>4869</v>
      </c>
      <c r="N2056" s="30">
        <v>46210</v>
      </c>
      <c r="O2056" s="33" t="s">
        <v>2686</v>
      </c>
      <c r="P2056" s="33" t="s">
        <v>4870</v>
      </c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CONCLUÍDO</v>
      </c>
      <c r="R2056" s="33"/>
    </row>
    <row r="2057" spans="1:18">
      <c r="A2057" s="30">
        <v>46206</v>
      </c>
      <c r="B2057" s="30">
        <v>46210</v>
      </c>
      <c r="C2057" s="31">
        <v>11521031</v>
      </c>
      <c r="D2057" s="30" t="str">
        <f>IFERROR(VLOOKUP(Tabela5[[#This Row],[PREFIXO ]],Tabela4[#All],2,0),"CENTRO DE CUSTO")</f>
        <v>TRAT PN EXT PES FENDT 1046 VARIO</v>
      </c>
      <c r="E2057" s="33" t="s">
        <v>259</v>
      </c>
      <c r="F2057" s="31">
        <v>63319847</v>
      </c>
      <c r="G2057" s="32">
        <v>49.28</v>
      </c>
      <c r="H2057" s="32">
        <v>4897.54</v>
      </c>
      <c r="I2057" s="32">
        <f t="shared" si="33"/>
        <v>4946.82</v>
      </c>
      <c r="J2057" s="33" t="s">
        <v>1196</v>
      </c>
      <c r="K2057" s="33" t="s">
        <v>4871</v>
      </c>
      <c r="L2057" s="33" t="s">
        <v>4872</v>
      </c>
      <c r="M2057" s="33" t="s">
        <v>4873</v>
      </c>
      <c r="N2057" s="30">
        <v>46210</v>
      </c>
      <c r="O2057" s="33" t="s">
        <v>4874</v>
      </c>
      <c r="P2057" s="33" t="s">
        <v>4870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>
      <c r="A2058" s="30">
        <v>46202</v>
      </c>
      <c r="B2058" s="30">
        <v>46213</v>
      </c>
      <c r="C2058" s="31">
        <v>22080164</v>
      </c>
      <c r="D2058" s="30" t="str">
        <f>IFERROR(VLOOKUP(Tabela5[[#This Row],[PREFIXO ]],Tabela4[#All],2,0),"CENTRO DE CUSTO")</f>
        <v>CENTRO DE CUSTO</v>
      </c>
      <c r="E2058" s="33" t="s">
        <v>227</v>
      </c>
      <c r="F2058" s="31">
        <v>220720</v>
      </c>
      <c r="G2058" s="32">
        <v>785</v>
      </c>
      <c r="H2058" s="32"/>
      <c r="I2058" s="32">
        <f t="shared" si="33"/>
        <v>785</v>
      </c>
      <c r="J2058" s="33" t="s">
        <v>1082</v>
      </c>
      <c r="K2058" s="33" t="s">
        <v>4875</v>
      </c>
      <c r="L2058" s="33" t="s">
        <v>4876</v>
      </c>
      <c r="M2058" s="33" t="s">
        <v>4877</v>
      </c>
      <c r="N2058" s="30">
        <v>46213</v>
      </c>
      <c r="O2058" s="33" t="s">
        <v>4878</v>
      </c>
      <c r="P2058" s="33" t="s">
        <v>4879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>
      <c r="A2059" s="30">
        <v>46202</v>
      </c>
      <c r="B2059" s="30">
        <v>46213</v>
      </c>
      <c r="C2059" s="31">
        <v>22080166</v>
      </c>
      <c r="D2059" s="30" t="str">
        <f>IFERROR(VLOOKUP(Tabela5[[#This Row],[PREFIXO ]],Tabela4[#All],2,0),"CENTRO DE CUSTO")</f>
        <v>CENTRO DE CUSTO</v>
      </c>
      <c r="E2059" s="33" t="s">
        <v>227</v>
      </c>
      <c r="F2059" s="31">
        <v>220693</v>
      </c>
      <c r="G2059" s="32">
        <v>785</v>
      </c>
      <c r="H2059" s="32"/>
      <c r="I2059" s="32">
        <f t="shared" si="33"/>
        <v>785</v>
      </c>
      <c r="J2059" s="33" t="s">
        <v>1082</v>
      </c>
      <c r="K2059" s="33" t="s">
        <v>4880</v>
      </c>
      <c r="L2059" s="33" t="s">
        <v>4881</v>
      </c>
      <c r="M2059" s="33" t="s">
        <v>4882</v>
      </c>
      <c r="N2059" s="30">
        <v>46213</v>
      </c>
      <c r="O2059" s="33" t="s">
        <v>4883</v>
      </c>
      <c r="P2059" s="33" t="s">
        <v>4879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>
      <c r="A2060" s="30">
        <v>46202</v>
      </c>
      <c r="B2060" s="30">
        <v>46210</v>
      </c>
      <c r="C2060" s="31">
        <v>51521050</v>
      </c>
      <c r="D2060" s="30" t="str">
        <f>IFERROR(VLOOKUP(Tabela5[[#This Row],[PREFIXO ]],Tabela4[#All],2,0),"CENTRO DE CUSTO")</f>
        <v>COLHED ALGODÃO JOHN DEERE CP 690</v>
      </c>
      <c r="E2060" s="33" t="s">
        <v>16</v>
      </c>
      <c r="F2060" s="31">
        <v>485</v>
      </c>
      <c r="G2060" s="32">
        <v>7980</v>
      </c>
      <c r="H2060" s="32"/>
      <c r="I2060" s="32">
        <f t="shared" si="33"/>
        <v>7980</v>
      </c>
      <c r="J2060" s="33" t="s">
        <v>1120</v>
      </c>
      <c r="K2060" s="33" t="s">
        <v>4884</v>
      </c>
      <c r="L2060" s="33" t="s">
        <v>4885</v>
      </c>
      <c r="M2060" s="33" t="s">
        <v>4886</v>
      </c>
      <c r="N2060" s="30">
        <v>46211</v>
      </c>
      <c r="O2060" s="33" t="s">
        <v>4887</v>
      </c>
      <c r="P2060" s="33" t="s">
        <v>4870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>
      <c r="A2061" s="30">
        <v>46175</v>
      </c>
      <c r="B2061" s="30">
        <v>46175</v>
      </c>
      <c r="C2061" s="31">
        <v>500580579</v>
      </c>
      <c r="D2061" s="30" t="str">
        <f>IFERROR(VLOOKUP(Tabela5[[#This Row],[PREFIXO ]],Tabela4[#All],2,0),"CENTRO DE CUSTO")</f>
        <v>Pátio de Vendas</v>
      </c>
      <c r="E2061" s="33" t="s">
        <v>224</v>
      </c>
      <c r="F2061" s="31">
        <v>2683</v>
      </c>
      <c r="G2061" s="32">
        <v>1770</v>
      </c>
      <c r="H2061" s="32"/>
      <c r="I2061" s="32">
        <f t="shared" si="33"/>
        <v>1770</v>
      </c>
      <c r="J2061" s="33" t="s">
        <v>1149</v>
      </c>
      <c r="K2061" s="33"/>
      <c r="L2061" s="33" t="s">
        <v>4888</v>
      </c>
      <c r="M2061" s="33" t="s">
        <v>4889</v>
      </c>
      <c r="N2061" s="30">
        <v>46175</v>
      </c>
      <c r="O2061" s="33" t="s">
        <v>2412</v>
      </c>
      <c r="P2061" s="33" t="s">
        <v>3624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>
      <c r="A2062" s="30">
        <v>46202</v>
      </c>
      <c r="B2062" s="30">
        <v>46213</v>
      </c>
      <c r="C2062" s="31">
        <v>61521076</v>
      </c>
      <c r="D2062" s="30" t="str">
        <f>IFERROR(VLOOKUP(Tabela5[[#This Row],[PREFIXO ]],Tabela4[#All],2,0),"CENTRO DE CUSTO")</f>
        <v>CAM CARGA SECA MERC BENZ ACCELO 815</v>
      </c>
      <c r="E2062" s="33" t="s">
        <v>227</v>
      </c>
      <c r="F2062" s="31">
        <v>225439</v>
      </c>
      <c r="G2062" s="32"/>
      <c r="H2062" s="32">
        <v>415</v>
      </c>
      <c r="I2062" s="32">
        <f t="shared" si="33"/>
        <v>415</v>
      </c>
      <c r="J2062" s="33" t="s">
        <v>1082</v>
      </c>
      <c r="K2062" s="33" t="s">
        <v>4890</v>
      </c>
      <c r="L2062" s="33" t="s">
        <v>4876</v>
      </c>
      <c r="M2062" s="33" t="s">
        <v>4877</v>
      </c>
      <c r="N2062" s="30">
        <v>46213</v>
      </c>
      <c r="O2062" s="33" t="s">
        <v>4878</v>
      </c>
      <c r="P2062" s="33" t="s">
        <v>4879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225484</v>
      </c>
      <c r="G2063" s="32"/>
      <c r="H2063" s="32">
        <v>755.5</v>
      </c>
      <c r="I2063" s="32">
        <f t="shared" si="33"/>
        <v>755.5</v>
      </c>
      <c r="J2063" s="33" t="s">
        <v>1082</v>
      </c>
      <c r="K2063" s="33" t="s">
        <v>4891</v>
      </c>
      <c r="L2063" s="33" t="s">
        <v>4881</v>
      </c>
      <c r="M2063" s="33" t="s">
        <v>4882</v>
      </c>
      <c r="N2063" s="30">
        <v>46213</v>
      </c>
      <c r="O2063" s="33" t="s">
        <v>4883</v>
      </c>
      <c r="P2063" s="33" t="s">
        <v>4879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>
      <c r="A2064" s="30">
        <v>46202</v>
      </c>
      <c r="B2064" s="30">
        <v>46213</v>
      </c>
      <c r="C2064" s="31">
        <v>61519048</v>
      </c>
      <c r="D2064" s="30" t="str">
        <f>IFERROR(VLOOKUP(Tabela5[[#This Row],[PREFIXO ]],Tabela4[#All],2,0),"CENTRO DE CUSTO")</f>
        <v>CENTRO DE CUSTO</v>
      </c>
      <c r="E2064" s="33" t="s">
        <v>227</v>
      </c>
      <c r="F2064" s="31">
        <v>226065</v>
      </c>
      <c r="G2064" s="32"/>
      <c r="H2064" s="32">
        <v>2633.4</v>
      </c>
      <c r="I2064" s="32">
        <f t="shared" si="33"/>
        <v>2633.4</v>
      </c>
      <c r="J2064" s="33" t="s">
        <v>1082</v>
      </c>
      <c r="K2064" s="33" t="s">
        <v>4892</v>
      </c>
      <c r="L2064" s="33" t="s">
        <v>4881</v>
      </c>
      <c r="M2064" s="33" t="s">
        <v>4882</v>
      </c>
      <c r="N2064" s="30">
        <v>46213</v>
      </c>
      <c r="O2064" s="33" t="s">
        <v>4883</v>
      </c>
      <c r="P2064" s="33" t="s">
        <v>4879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>
      <c r="A2065" s="30">
        <v>46175</v>
      </c>
      <c r="B2065" s="30">
        <v>46175</v>
      </c>
      <c r="C2065" s="31">
        <v>500580263</v>
      </c>
      <c r="D2065" s="30" t="str">
        <f>IFERROR(VLOOKUP(Tabela5[[#This Row],[PREFIXO ]],Tabela4[#All],2,0),"CENTRO DE CUSTO")</f>
        <v>Colheit. Grãos-Axial</v>
      </c>
      <c r="E2065" s="33" t="s">
        <v>308</v>
      </c>
      <c r="F2065" s="31" t="s">
        <v>2618</v>
      </c>
      <c r="G2065" s="32">
        <v>45296.75</v>
      </c>
      <c r="H2065" s="32"/>
      <c r="I2065" s="32">
        <f t="shared" si="33"/>
        <v>45296.75</v>
      </c>
      <c r="J2065" s="33" t="s">
        <v>1120</v>
      </c>
      <c r="K2065" s="33" t="s">
        <v>4893</v>
      </c>
      <c r="L2065" s="33" t="s">
        <v>4894</v>
      </c>
      <c r="M2065" s="33" t="s">
        <v>4895</v>
      </c>
      <c r="N2065" s="30">
        <v>46176</v>
      </c>
      <c r="O2065" s="33" t="s">
        <v>3326</v>
      </c>
      <c r="P2065" s="33" t="s">
        <v>3521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>
      <c r="A2066" s="30">
        <v>46202</v>
      </c>
      <c r="B2066" s="16">
        <v>46213</v>
      </c>
      <c r="C2066" s="21">
        <v>61521011</v>
      </c>
      <c r="D2066" s="16" t="str">
        <f>IFERROR(VLOOKUP(Tabela5[[#This Row],[PREFIXO ]],Tabela4[#All],2,0),"CENTRO DE CUSTO")</f>
        <v>CAM COMBOIO MERC BENZ ATRON 2729</v>
      </c>
      <c r="E2066" s="18" t="s">
        <v>227</v>
      </c>
      <c r="F2066" s="21">
        <v>226164</v>
      </c>
      <c r="G2066" s="22"/>
      <c r="H2066" s="48">
        <v>230</v>
      </c>
      <c r="I2066" s="22">
        <f t="shared" si="33"/>
        <v>230</v>
      </c>
      <c r="J2066" s="18" t="s">
        <v>1082</v>
      </c>
      <c r="K2066" s="18" t="s">
        <v>4896</v>
      </c>
      <c r="L2066" s="18" t="s">
        <v>4881</v>
      </c>
      <c r="M2066" s="18" t="s">
        <v>4882</v>
      </c>
      <c r="N2066" s="30">
        <v>46213</v>
      </c>
      <c r="O2066" s="18" t="s">
        <v>4883</v>
      </c>
      <c r="P2066" s="18" t="s">
        <v>4879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>
      <c r="A2067" s="30">
        <v>46202</v>
      </c>
      <c r="B2067" s="16">
        <v>46213</v>
      </c>
      <c r="C2067" s="21">
        <v>22080164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225563</v>
      </c>
      <c r="G2067" s="22"/>
      <c r="H2067" s="22">
        <v>758</v>
      </c>
      <c r="I2067" s="22">
        <f t="shared" si="33"/>
        <v>758</v>
      </c>
      <c r="J2067" s="18" t="s">
        <v>1082</v>
      </c>
      <c r="K2067" s="18" t="s">
        <v>4897</v>
      </c>
      <c r="L2067" s="18" t="s">
        <v>4876</v>
      </c>
      <c r="M2067" s="18" t="s">
        <v>4877</v>
      </c>
      <c r="N2067" s="30">
        <v>46213</v>
      </c>
      <c r="O2067" s="18" t="s">
        <v>4878</v>
      </c>
      <c r="P2067" s="18" t="s">
        <v>4879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>
      <c r="A2068" s="30">
        <v>46167</v>
      </c>
      <c r="B2068" s="16">
        <v>46171</v>
      </c>
      <c r="C2068" s="21" t="s">
        <v>4898</v>
      </c>
      <c r="D2068" s="16" t="str">
        <f>IFERROR(VLOOKUP(Tabela5[[#This Row],[PREFIXO ]],Tabela4[#All],2,0),"CENTRO DE CUSTO")</f>
        <v>CENTRO DE CUSTO</v>
      </c>
      <c r="E2068" s="18" t="s">
        <v>249</v>
      </c>
      <c r="F2068" s="21">
        <v>241</v>
      </c>
      <c r="G2068" s="22">
        <v>43050</v>
      </c>
      <c r="H2068" s="22"/>
      <c r="I2068" s="22">
        <f t="shared" si="33"/>
        <v>43050</v>
      </c>
      <c r="J2068" s="18" t="s">
        <v>1196</v>
      </c>
      <c r="K2068" s="18" t="s">
        <v>4899</v>
      </c>
      <c r="L2068" s="18" t="s">
        <v>4900</v>
      </c>
      <c r="M2068" s="18" t="s">
        <v>4901</v>
      </c>
      <c r="N2068" s="30">
        <v>46177</v>
      </c>
      <c r="O2068" s="18" t="s">
        <v>2050</v>
      </c>
      <c r="P2068" s="18" t="s">
        <v>3547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>
      <c r="A2069" s="30">
        <v>46202</v>
      </c>
      <c r="B2069" s="16">
        <v>46216</v>
      </c>
      <c r="C2069" s="21">
        <v>51521060</v>
      </c>
      <c r="D2069" s="16" t="str">
        <f>IFERROR(VLOOKUP(Tabela5[[#This Row],[PREFIXO ]],Tabela4[#All],2,0),"CENTRO DE CUSTO")</f>
        <v>COLHED ALGODÃO JOHN DEERE CP 690</v>
      </c>
      <c r="E2069" s="18" t="s">
        <v>16</v>
      </c>
      <c r="F2069" s="21">
        <v>483</v>
      </c>
      <c r="G2069" s="22">
        <v>29920</v>
      </c>
      <c r="H2069" s="22"/>
      <c r="I2069" s="22">
        <f t="shared" si="33"/>
        <v>29920</v>
      </c>
      <c r="J2069" s="18" t="s">
        <v>1120</v>
      </c>
      <c r="K2069" s="18" t="s">
        <v>4902</v>
      </c>
      <c r="L2069" s="18" t="s">
        <v>4903</v>
      </c>
      <c r="M2069" s="18"/>
      <c r="N2069" s="30"/>
      <c r="O2069" s="18"/>
      <c r="P2069" s="18"/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FALTA O PEDIDO</v>
      </c>
      <c r="R2069" s="18"/>
    </row>
    <row r="2070" spans="1:18">
      <c r="A2070" s="16">
        <v>46206</v>
      </c>
      <c r="B2070" s="16">
        <v>46210</v>
      </c>
      <c r="C2070" s="21">
        <v>45010002</v>
      </c>
      <c r="D2070" s="16" t="str">
        <f>IFERROR(VLOOKUP(Tabela5[[#This Row],[PREFIXO ]],Tabela4[#All],2,0),"CENTRO DE CUSTO")</f>
        <v>CENTRO DE CUSTO</v>
      </c>
      <c r="E2070" s="18" t="s">
        <v>324</v>
      </c>
      <c r="F2070" s="21">
        <v>233</v>
      </c>
      <c r="G2070" s="22">
        <v>3800</v>
      </c>
      <c r="H2070" s="22"/>
      <c r="I2070" s="22">
        <f t="shared" si="33"/>
        <v>3800</v>
      </c>
      <c r="J2070" s="18" t="s">
        <v>1082</v>
      </c>
      <c r="K2070" s="18" t="s">
        <v>4904</v>
      </c>
      <c r="L2070" s="18" t="s">
        <v>4905</v>
      </c>
      <c r="M2070" s="18" t="s">
        <v>4906</v>
      </c>
      <c r="N2070" s="30">
        <v>46211</v>
      </c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NF</v>
      </c>
      <c r="R2070" s="18"/>
    </row>
    <row r="2071" spans="1:18">
      <c r="A2071" s="30">
        <v>46204</v>
      </c>
      <c r="B2071" s="16">
        <v>46211</v>
      </c>
      <c r="C2071" s="21" t="s">
        <v>4907</v>
      </c>
      <c r="D2071" s="16" t="str">
        <f>IFERROR(VLOOKUP(Tabela5[[#This Row],[PREFIXO ]],Tabela4[#All],2,0),"CENTRO DE CUSTO")</f>
        <v>CENTRO DE CUSTO</v>
      </c>
      <c r="E2071" s="18" t="s">
        <v>255</v>
      </c>
      <c r="F2071" s="21">
        <v>1010</v>
      </c>
      <c r="G2071" s="22">
        <v>2400</v>
      </c>
      <c r="H2071" s="22"/>
      <c r="I2071" s="22">
        <f t="shared" si="33"/>
        <v>2400</v>
      </c>
      <c r="J2071" s="18" t="s">
        <v>1120</v>
      </c>
      <c r="K2071" s="18" t="s">
        <v>4908</v>
      </c>
      <c r="L2071" s="18" t="s">
        <v>4909</v>
      </c>
      <c r="M2071" s="18" t="s">
        <v>4910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>
      <c r="A2072" s="30">
        <v>46204</v>
      </c>
      <c r="B2072" s="16">
        <v>46211</v>
      </c>
      <c r="C2072" s="21">
        <v>51521052</v>
      </c>
      <c r="D2072" s="16" t="str">
        <f>IFERROR(VLOOKUP(Tabela5[[#This Row],[PREFIXO ]],Tabela4[#All],2,0),"CENTRO DE CUSTO")</f>
        <v>COLHED ALGODÃO JOHN DEERE CP 690</v>
      </c>
      <c r="E2072" s="18" t="s">
        <v>255</v>
      </c>
      <c r="F2072" s="21">
        <v>1006</v>
      </c>
      <c r="G2072" s="22">
        <v>2300</v>
      </c>
      <c r="H2072" s="22"/>
      <c r="I2072" s="22">
        <f t="shared" si="33"/>
        <v>2300</v>
      </c>
      <c r="J2072" s="18" t="s">
        <v>1120</v>
      </c>
      <c r="K2072" s="18" t="s">
        <v>4911</v>
      </c>
      <c r="L2072" s="18" t="s">
        <v>4909</v>
      </c>
      <c r="M2072" s="18" t="s">
        <v>4910</v>
      </c>
      <c r="N2072" s="30">
        <v>46213</v>
      </c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NF</v>
      </c>
      <c r="R2072" s="18"/>
    </row>
    <row r="2073" spans="1:18">
      <c r="A2073" s="30">
        <v>46204</v>
      </c>
      <c r="B2073" s="16">
        <v>46211</v>
      </c>
      <c r="C2073" s="21">
        <v>51521067</v>
      </c>
      <c r="D2073" s="16" t="str">
        <f>IFERROR(VLOOKUP(Tabela5[[#This Row],[PREFIXO ]],Tabela4[#All],2,0),"CENTRO DE CUSTO")</f>
        <v>COLHED ALGODÃO JOHN DEERE CP 690</v>
      </c>
      <c r="E2073" s="18" t="s">
        <v>255</v>
      </c>
      <c r="F2073" s="21">
        <v>1007</v>
      </c>
      <c r="G2073" s="22">
        <v>2300</v>
      </c>
      <c r="H2073" s="22"/>
      <c r="I2073" s="22">
        <f t="shared" si="33"/>
        <v>2300</v>
      </c>
      <c r="J2073" s="18" t="s">
        <v>1120</v>
      </c>
      <c r="K2073" s="18" t="s">
        <v>4912</v>
      </c>
      <c r="L2073" s="18" t="s">
        <v>4909</v>
      </c>
      <c r="M2073" s="18" t="s">
        <v>4910</v>
      </c>
      <c r="N2073" s="30">
        <v>46213</v>
      </c>
      <c r="O2073" s="18"/>
      <c r="P2073" s="18"/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FALTA NF</v>
      </c>
      <c r="R2073" s="18"/>
    </row>
    <row r="2074" spans="1:18">
      <c r="A2074" s="30">
        <v>46204</v>
      </c>
      <c r="B2074" s="30">
        <v>46211</v>
      </c>
      <c r="C2074" s="31">
        <v>51521049</v>
      </c>
      <c r="D2074" s="30" t="str">
        <f>IFERROR(VLOOKUP(Tabela5[[#This Row],[PREFIXO ]],Tabela4[#All],2,0),"CENTRO DE CUSTO")</f>
        <v>COLHED ALGODÃO JOHN DEERE CP 690</v>
      </c>
      <c r="E2074" s="33" t="s">
        <v>255</v>
      </c>
      <c r="F2074" s="31">
        <v>1008</v>
      </c>
      <c r="G2074" s="32">
        <v>1000</v>
      </c>
      <c r="H2074" s="32"/>
      <c r="I2074" s="32">
        <f t="shared" si="33"/>
        <v>1000</v>
      </c>
      <c r="J2074" s="33" t="s">
        <v>1120</v>
      </c>
      <c r="K2074" s="33" t="s">
        <v>4913</v>
      </c>
      <c r="L2074" s="33" t="s">
        <v>4909</v>
      </c>
      <c r="M2074" s="18" t="s">
        <v>4910</v>
      </c>
      <c r="N2074" s="30">
        <v>46213</v>
      </c>
      <c r="O2074" s="33"/>
      <c r="P2074" s="33"/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FALTA NF</v>
      </c>
      <c r="R2074" s="33"/>
    </row>
    <row r="2075" spans="1:18">
      <c r="A2075" s="30">
        <v>46204</v>
      </c>
      <c r="B2075" s="30">
        <v>46211</v>
      </c>
      <c r="C2075" s="31">
        <v>51519060</v>
      </c>
      <c r="D2075" s="30" t="str">
        <f>IFERROR(VLOOKUP(Tabela5[[#This Row],[PREFIXO ]],Tabela4[#All],2,0),"CENTRO DE CUSTO")</f>
        <v>CENTRO DE CUSTO</v>
      </c>
      <c r="E2075" s="33" t="s">
        <v>255</v>
      </c>
      <c r="F2075" s="31">
        <v>1009</v>
      </c>
      <c r="G2075" s="32">
        <v>1600</v>
      </c>
      <c r="H2075" s="32"/>
      <c r="I2075" s="32">
        <f t="shared" si="33"/>
        <v>1600</v>
      </c>
      <c r="J2075" s="33" t="s">
        <v>1120</v>
      </c>
      <c r="K2075" s="33" t="s">
        <v>4914</v>
      </c>
      <c r="L2075" s="33" t="s">
        <v>4909</v>
      </c>
      <c r="M2075" s="18" t="s">
        <v>4910</v>
      </c>
      <c r="N2075" s="30">
        <v>46213</v>
      </c>
      <c r="O2075" s="33"/>
      <c r="P2075" s="33"/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FALTA NF</v>
      </c>
      <c r="R2075" s="33"/>
    </row>
    <row r="2076" spans="1:18">
      <c r="A2076" s="30">
        <v>46204</v>
      </c>
      <c r="B2076" s="30">
        <v>46211</v>
      </c>
      <c r="C2076" s="31">
        <v>45190002</v>
      </c>
      <c r="D2076" s="30" t="str">
        <f>IFERROR(VLOOKUP(Tabela5[[#This Row],[PREFIXO ]],Tabela4[#All],2,0),"CENTRO DE CUSTO")</f>
        <v>SUBSOLADOR HORSCH EVO TL 9.45</v>
      </c>
      <c r="E2076" s="33" t="s">
        <v>255</v>
      </c>
      <c r="F2076" s="31">
        <v>1005</v>
      </c>
      <c r="G2076" s="32">
        <v>3200</v>
      </c>
      <c r="H2076" s="32"/>
      <c r="I2076" s="32">
        <f t="shared" si="33"/>
        <v>3200</v>
      </c>
      <c r="J2076" s="33" t="s">
        <v>1082</v>
      </c>
      <c r="K2076" s="33" t="s">
        <v>4915</v>
      </c>
      <c r="L2076" s="33" t="s">
        <v>4909</v>
      </c>
      <c r="M2076" s="18" t="s">
        <v>4910</v>
      </c>
      <c r="N2076" s="30">
        <v>46213</v>
      </c>
      <c r="O2076" s="33"/>
      <c r="P2076" s="33"/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FALTA NF</v>
      </c>
      <c r="R2076" s="33"/>
    </row>
    <row r="2077" spans="1:18">
      <c r="A2077" s="30">
        <v>46169</v>
      </c>
      <c r="B2077" s="30">
        <v>46171</v>
      </c>
      <c r="C2077" s="31">
        <v>51521053</v>
      </c>
      <c r="D2077" s="30" t="str">
        <f>IFERROR(VLOOKUP(Tabela5[[#This Row],[PREFIXO ]],Tabela4[#All],2,0),"CENTRO DE CUSTO")</f>
        <v>COLHED ALGODÃO JOHN DEERE CP 690</v>
      </c>
      <c r="E2077" s="33" t="s">
        <v>96</v>
      </c>
      <c r="F2077" s="31" t="s">
        <v>4916</v>
      </c>
      <c r="G2077" s="32">
        <v>2043</v>
      </c>
      <c r="H2077" s="32">
        <v>1372.39</v>
      </c>
      <c r="I2077" s="32">
        <f t="shared" si="33"/>
        <v>3415.3900000000003</v>
      </c>
      <c r="J2077" s="33" t="s">
        <v>1120</v>
      </c>
      <c r="K2077" s="33" t="s">
        <v>4917</v>
      </c>
      <c r="L2077" s="33" t="s">
        <v>4918</v>
      </c>
      <c r="M2077" s="33" t="s">
        <v>4919</v>
      </c>
      <c r="N2077" s="30">
        <v>46171</v>
      </c>
      <c r="O2077" s="33" t="s">
        <v>4920</v>
      </c>
      <c r="P2077" s="33" t="s">
        <v>3521</v>
      </c>
      <c r="Q2077" s="39" t="str" cm="1">
        <f t="array" ref="Q2077">_xlfn.IFS(
A2077="","",
AND(A2077&lt;&gt;"",B2077=""),"FALTA LANÇAMENTO",
AND(B2077&lt;&gt;"",M2077=""),"FALTA O PEDIDO",
AND(M2077&lt;&gt;"",O2077=""),"FALTA NF",
O2077&lt;&gt;"","CONCLUÍDO")</f>
        <v>CONCLUÍDO</v>
      </c>
      <c r="R2077" s="33"/>
    </row>
    <row r="2078" spans="1:18">
      <c r="A2078" s="30">
        <v>46204</v>
      </c>
      <c r="B2078" s="30"/>
      <c r="C2078" s="31" t="s">
        <v>4921</v>
      </c>
      <c r="D2078" s="30" t="str">
        <f>IFERROR(VLOOKUP(Tabela5[[#This Row],[PREFIXO ]],Tabela4[#All],2,0),"CENTRO DE CUSTO")</f>
        <v>CENTRO DE CUSTO</v>
      </c>
      <c r="E2078" s="33" t="s">
        <v>24</v>
      </c>
      <c r="F2078" s="31" t="s">
        <v>4922</v>
      </c>
      <c r="G2078" s="32">
        <v>999.9</v>
      </c>
      <c r="H2078" s="32">
        <v>4686.7700000000004</v>
      </c>
      <c r="I2078" s="32">
        <f t="shared" si="33"/>
        <v>5686.67</v>
      </c>
      <c r="J2078" s="33" t="s">
        <v>1082</v>
      </c>
      <c r="K2078" s="33"/>
      <c r="L2078" s="33"/>
      <c r="M2078" s="33"/>
      <c r="N2078" s="30"/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LANÇAMENTO</v>
      </c>
      <c r="R2078" s="33"/>
    </row>
    <row r="2079" spans="1:18">
      <c r="A2079" s="30">
        <v>46204</v>
      </c>
      <c r="B2079" s="30">
        <v>46213</v>
      </c>
      <c r="C2079" s="31">
        <v>900325</v>
      </c>
      <c r="D2079" s="30" t="str">
        <f>IFERROR(VLOOKUP(Tabela5[[#This Row],[PREFIXO ]],Tabela4[#All],2,0),"CENTRO DE CUSTO")</f>
        <v>CENTRO DE CUSTO</v>
      </c>
      <c r="E2079" s="33" t="s">
        <v>71</v>
      </c>
      <c r="F2079" s="31">
        <v>7805</v>
      </c>
      <c r="G2079" s="32">
        <v>3341.85</v>
      </c>
      <c r="H2079" s="32">
        <v>1563</v>
      </c>
      <c r="I2079" s="32">
        <f t="shared" si="33"/>
        <v>4904.8500000000004</v>
      </c>
      <c r="J2079" s="18" t="s">
        <v>1196</v>
      </c>
      <c r="K2079" s="33" t="s">
        <v>4923</v>
      </c>
      <c r="L2079" s="33" t="s">
        <v>4924</v>
      </c>
      <c r="M2079" s="33" t="s">
        <v>4925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>
      <c r="A2080" s="30">
        <v>46204</v>
      </c>
      <c r="B2080" s="30">
        <v>46216</v>
      </c>
      <c r="C2080" s="31">
        <v>15690001</v>
      </c>
      <c r="D2080" s="30" t="str">
        <f>IFERROR(VLOOKUP(Tabela5[[#This Row],[PREFIXO ]],Tabela4[#All],2,0),"CENTRO DE CUSTO")</f>
        <v>COLHE FORRAGEM CASALE CRC-180 AP</v>
      </c>
      <c r="E2080" s="33" t="s">
        <v>218</v>
      </c>
      <c r="F2080" s="31">
        <v>26801</v>
      </c>
      <c r="G2080" s="32">
        <v>1010.11</v>
      </c>
      <c r="H2080" s="32">
        <v>487.06</v>
      </c>
      <c r="I2080" s="32">
        <f t="shared" si="33"/>
        <v>1497.17</v>
      </c>
      <c r="J2080" s="18" t="s">
        <v>1196</v>
      </c>
      <c r="K2080" s="33" t="s">
        <v>4926</v>
      </c>
      <c r="L2080" s="33" t="s">
        <v>4927</v>
      </c>
      <c r="M2080" s="33" t="s">
        <v>4928</v>
      </c>
      <c r="N2080" s="30">
        <v>46216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>
      <c r="A2081" s="30">
        <v>46169</v>
      </c>
      <c r="B2081" s="30">
        <v>46171</v>
      </c>
      <c r="C2081" s="31">
        <v>500580325</v>
      </c>
      <c r="D2081" s="30" t="str">
        <f>IFERROR(VLOOKUP(Tabela5[[#This Row],[PREFIXO ]],Tabela4[#All],2,0),"CENTRO DE CUSTO")</f>
        <v>Colheitad. Alg Auto</v>
      </c>
      <c r="E2081" s="33" t="s">
        <v>70</v>
      </c>
      <c r="F2081" s="31">
        <v>22887</v>
      </c>
      <c r="G2081" s="32">
        <v>5500</v>
      </c>
      <c r="H2081" s="32"/>
      <c r="I2081" s="32">
        <f t="shared" si="33"/>
        <v>5500</v>
      </c>
      <c r="J2081" s="33" t="s">
        <v>1120</v>
      </c>
      <c r="K2081" s="33" t="s">
        <v>4929</v>
      </c>
      <c r="L2081" s="33" t="s">
        <v>4930</v>
      </c>
      <c r="M2081" s="33" t="s">
        <v>4931</v>
      </c>
      <c r="N2081" s="30">
        <v>46171</v>
      </c>
      <c r="O2081" s="33" t="s">
        <v>4932</v>
      </c>
      <c r="P2081" s="33" t="s">
        <v>4933</v>
      </c>
      <c r="Q2081" s="39" t="str" cm="1">
        <f t="array" ref="Q2081">_xlfn.IFS(
A2081="","",
AND(A2081&lt;&gt;"",B2081=""),"FALTA LANÇAMENTO",
AND(B2081&lt;&gt;"",M2081=""),"FALTA O PEDIDO",
AND(M2081&lt;&gt;"",O2081=""),"FALTA NF",
O2081&lt;&gt;"","CONCLUÍDO")</f>
        <v>CONCLUÍDO</v>
      </c>
      <c r="R2081" s="33"/>
    </row>
    <row r="2082" spans="1:18">
      <c r="A2082" s="30">
        <v>46169</v>
      </c>
      <c r="B2082" s="16">
        <v>46171</v>
      </c>
      <c r="C2082" s="21">
        <v>51521057</v>
      </c>
      <c r="D2082" s="16" t="str">
        <f>IFERROR(VLOOKUP(Tabela5[[#This Row],[PREFIXO ]],Tabela4[#All],2,0),"CENTRO DE CUSTO")</f>
        <v>COLHED ALGODÃO JOHN DEERE CP 690</v>
      </c>
      <c r="E2082" s="18" t="s">
        <v>70</v>
      </c>
      <c r="F2082" s="21">
        <v>23188</v>
      </c>
      <c r="G2082" s="22">
        <v>7210</v>
      </c>
      <c r="H2082" s="22"/>
      <c r="I2082" s="22">
        <f t="shared" si="33"/>
        <v>7210</v>
      </c>
      <c r="J2082" s="18" t="s">
        <v>1120</v>
      </c>
      <c r="K2082" s="18" t="s">
        <v>4934</v>
      </c>
      <c r="L2082" s="18" t="s">
        <v>4935</v>
      </c>
      <c r="M2082" s="18" t="s">
        <v>4936</v>
      </c>
      <c r="N2082" s="30">
        <v>46181</v>
      </c>
      <c r="O2082" s="18" t="s">
        <v>4937</v>
      </c>
      <c r="P2082" s="18" t="s">
        <v>4933</v>
      </c>
      <c r="Q2082" s="29" t="str" cm="1">
        <f t="array" ref="Q2082">_xlfn.IFS(
A2082="","",
AND(A2082&lt;&gt;"",B2082=""),"FALTA LANÇAMENTO",
AND(B2082&lt;&gt;"",M2082=""),"FALTA O PEDIDO",
AND(M2082&lt;&gt;"",O2082=""),"FALTA NF",
O2082&lt;&gt;"","CONCLUÍDO")</f>
        <v>CONCLUÍDO</v>
      </c>
      <c r="R2082" s="18"/>
    </row>
    <row r="2083" spans="1:18">
      <c r="A2083" s="30">
        <v>46169</v>
      </c>
      <c r="B2083" s="16">
        <v>46171</v>
      </c>
      <c r="C2083" s="21">
        <v>51521054</v>
      </c>
      <c r="D2083" s="16" t="str">
        <f>IFERROR(VLOOKUP(Tabela5[[#This Row],[PREFIXO ]],Tabela4[#All],2,0),"CENTRO DE CUSTO")</f>
        <v>COLHED ALGODÃO JOHN DEERE CP 690</v>
      </c>
      <c r="E2083" s="18" t="s">
        <v>96</v>
      </c>
      <c r="F2083" s="21" t="s">
        <v>4938</v>
      </c>
      <c r="G2083" s="22">
        <v>1534.5</v>
      </c>
      <c r="H2083" s="22">
        <v>4289.4399999999996</v>
      </c>
      <c r="I2083" s="22">
        <f t="shared" si="33"/>
        <v>5823.94</v>
      </c>
      <c r="J2083" s="18" t="s">
        <v>1120</v>
      </c>
      <c r="K2083" s="18" t="s">
        <v>4939</v>
      </c>
      <c r="L2083" s="18" t="s">
        <v>4940</v>
      </c>
      <c r="M2083" s="18" t="s">
        <v>4941</v>
      </c>
      <c r="N2083" s="30">
        <v>46171</v>
      </c>
      <c r="O2083" s="18" t="s">
        <v>4942</v>
      </c>
      <c r="P2083" s="18" t="s">
        <v>3521</v>
      </c>
      <c r="Q2083" s="29" t="str" cm="1">
        <f t="array" ref="Q2083">_xlfn.IFS(
A2083="","",
AND(A2083&lt;&gt;"",B2083=""),"FALTA LANÇAMENTO",
AND(B2083&lt;&gt;"",M2083=""),"FALTA O PEDIDO",
AND(M2083&lt;&gt;"",O2083=""),"FALTA NF",
O2083&lt;&gt;"","CONCLUÍDO")</f>
        <v>CONCLUÍDO</v>
      </c>
      <c r="R2083" s="18"/>
    </row>
    <row r="2084" spans="1:18">
      <c r="A2084" s="30">
        <v>46169</v>
      </c>
      <c r="B2084" s="16">
        <v>46171</v>
      </c>
      <c r="C2084" s="21">
        <v>51521072</v>
      </c>
      <c r="D2084" s="16" t="str">
        <f>IFERROR(VLOOKUP(Tabela5[[#This Row],[PREFIXO ]],Tabela4[#All],2,0),"CENTRO DE CUSTO")</f>
        <v>COLHED ALGODÃO JOHN DEERE CP 690</v>
      </c>
      <c r="E2084" s="18" t="s">
        <v>70</v>
      </c>
      <c r="F2084" s="21">
        <v>23189</v>
      </c>
      <c r="G2084" s="22">
        <v>8920</v>
      </c>
      <c r="H2084" s="22"/>
      <c r="I2084" s="22">
        <f t="shared" si="33"/>
        <v>8920</v>
      </c>
      <c r="J2084" s="18" t="s">
        <v>1120</v>
      </c>
      <c r="K2084" s="18" t="s">
        <v>4943</v>
      </c>
      <c r="L2084" s="18" t="s">
        <v>4944</v>
      </c>
      <c r="M2084" s="18" t="s">
        <v>4945</v>
      </c>
      <c r="N2084" s="30">
        <v>46181</v>
      </c>
      <c r="O2084" s="18" t="s">
        <v>4946</v>
      </c>
      <c r="P2084" s="18" t="s">
        <v>4933</v>
      </c>
      <c r="Q2084" s="29" t="str" cm="1">
        <f t="array" ref="Q2084">_xlfn.IFS(
A2084="","",
AND(A2084&lt;&gt;"",B2084=""),"FALTA LANÇAMENTO",
AND(B2084&lt;&gt;"",M2084=""),"FALTA O PEDIDO",
AND(M2084&lt;&gt;"",O2084=""),"FALTA NF",
O2084&lt;&gt;"","CONCLUÍDO")</f>
        <v>CONCLUÍDO</v>
      </c>
      <c r="R2084" s="18"/>
    </row>
    <row r="2085" spans="1:18">
      <c r="A2085" s="30">
        <v>46155</v>
      </c>
      <c r="B2085" s="16">
        <v>46170</v>
      </c>
      <c r="C2085" s="21">
        <v>61521043</v>
      </c>
      <c r="D2085" s="16" t="str">
        <f>IFERROR(VLOOKUP(Tabela5[[#This Row],[PREFIXO ]],Tabela4[#All],2,0),"CENTRO DE CUSTO")</f>
        <v>ONIB RODOVIÁRIO MASCARELLO GRAN MIDI</v>
      </c>
      <c r="E2085" s="18" t="s">
        <v>29</v>
      </c>
      <c r="F2085" s="21">
        <v>55553</v>
      </c>
      <c r="G2085" s="22">
        <v>4946</v>
      </c>
      <c r="H2085" s="22">
        <v>6907.38</v>
      </c>
      <c r="I2085" s="22">
        <f t="shared" si="33"/>
        <v>11853.380000000001</v>
      </c>
      <c r="J2085" s="18" t="s">
        <v>1082</v>
      </c>
      <c r="K2085" s="18">
        <v>9862096</v>
      </c>
      <c r="L2085" s="18" t="s">
        <v>4947</v>
      </c>
      <c r="M2085" s="18" t="s">
        <v>4948</v>
      </c>
      <c r="N2085" s="30">
        <v>46196</v>
      </c>
      <c r="O2085" s="18" t="s">
        <v>4949</v>
      </c>
      <c r="P2085" s="18" t="s">
        <v>3594</v>
      </c>
      <c r="Q2085" s="29" t="str" cm="1">
        <f t="array" ref="Q2085">_xlfn.IFS(
A2085="","",
AND(A2085&lt;&gt;"",B2085=""),"FALTA LANÇAMENTO",
AND(B2085&lt;&gt;"",M2085=""),"FALTA O PEDIDO",
AND(M2085&lt;&gt;"",O2085=""),"FALTA NF",
O2085&lt;&gt;"","CONCLUÍDO")</f>
        <v>CONCLUÍDO</v>
      </c>
      <c r="R2085" s="18"/>
    </row>
    <row r="2086" spans="1:18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4950</v>
      </c>
      <c r="G2086" s="22">
        <v>3339</v>
      </c>
      <c r="H2086" s="22">
        <v>4336.42</v>
      </c>
      <c r="I2086" s="22">
        <f t="shared" si="33"/>
        <v>7675.42</v>
      </c>
      <c r="J2086" s="18" t="s">
        <v>1077</v>
      </c>
      <c r="K2086" s="18" t="s">
        <v>4951</v>
      </c>
      <c r="L2086" s="18" t="s">
        <v>4952</v>
      </c>
      <c r="M2086" s="18" t="s">
        <v>4953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>
      <c r="A2087" s="30">
        <v>46206</v>
      </c>
      <c r="B2087" s="16">
        <v>46211</v>
      </c>
      <c r="C2087" s="21">
        <v>45190002</v>
      </c>
      <c r="D2087" s="16" t="str">
        <f>IFERROR(VLOOKUP(Tabela5[[#This Row],[PREFIXO ]],Tabela4[#All],2,0),"CENTRO DE CUSTO")</f>
        <v>SUBSOLADOR HORSCH EVO TL 9.45</v>
      </c>
      <c r="E2087" s="18" t="s">
        <v>67</v>
      </c>
      <c r="F2087" s="21">
        <v>205</v>
      </c>
      <c r="G2087" s="22">
        <v>1800</v>
      </c>
      <c r="H2087" s="22"/>
      <c r="I2087" s="22">
        <f t="shared" si="33"/>
        <v>1800</v>
      </c>
      <c r="J2087" s="18" t="s">
        <v>1082</v>
      </c>
      <c r="K2087" s="18" t="s">
        <v>4954</v>
      </c>
      <c r="L2087" s="18" t="s">
        <v>4955</v>
      </c>
      <c r="M2087" s="18" t="s">
        <v>4956</v>
      </c>
      <c r="N2087" s="30">
        <v>46211</v>
      </c>
      <c r="O2087" s="18" t="s">
        <v>3230</v>
      </c>
      <c r="P2087" s="18" t="s">
        <v>4957</v>
      </c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CONCLUÍDO</v>
      </c>
      <c r="R2087" s="18"/>
    </row>
    <row r="2088" spans="1:18">
      <c r="A2088" s="30">
        <v>46175</v>
      </c>
      <c r="B2088" s="16">
        <v>46175</v>
      </c>
      <c r="C2088" s="21">
        <v>51519062</v>
      </c>
      <c r="D2088" s="16" t="str">
        <f>IFERROR(VLOOKUP(Tabela5[[#This Row],[PREFIXO ]],Tabela4[#All],2,0),"CENTRO DE CUSTO")</f>
        <v>CENTRO DE CUSTO</v>
      </c>
      <c r="E2088" s="18" t="s">
        <v>17</v>
      </c>
      <c r="F2088" s="21">
        <v>43637</v>
      </c>
      <c r="G2088" s="22">
        <v>73306.42</v>
      </c>
      <c r="H2088" s="22">
        <v>79569.64</v>
      </c>
      <c r="I2088" s="22">
        <f t="shared" si="33"/>
        <v>152876.06</v>
      </c>
      <c r="J2088" s="18" t="s">
        <v>1120</v>
      </c>
      <c r="K2088" s="18" t="s">
        <v>4958</v>
      </c>
      <c r="L2088" s="18" t="s">
        <v>4959</v>
      </c>
      <c r="M2088" s="18" t="s">
        <v>4960</v>
      </c>
      <c r="N2088" s="30">
        <v>46175</v>
      </c>
      <c r="O2088" s="18" t="s">
        <v>4961</v>
      </c>
      <c r="P2088" s="18" t="s">
        <v>3521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>
      <c r="A2089" s="30">
        <v>46206</v>
      </c>
      <c r="B2089" s="16">
        <v>46213</v>
      </c>
      <c r="C2089" s="21">
        <v>41521066</v>
      </c>
      <c r="D2089" s="16" t="str">
        <f>IFERROR(VLOOKUP(Tabela5[[#This Row],[PREFIXO ]],Tabela4[#All],2,0),"CENTRO DE CUSTO")</f>
        <v>MICROONIBUS SPRINTER 417 CDI K42B</v>
      </c>
      <c r="E2089" s="18" t="s">
        <v>129</v>
      </c>
      <c r="F2089" s="21">
        <v>269</v>
      </c>
      <c r="G2089" s="22">
        <v>50</v>
      </c>
      <c r="H2089" s="22">
        <v>1900</v>
      </c>
      <c r="I2089" s="22">
        <f t="shared" si="33"/>
        <v>1950</v>
      </c>
      <c r="J2089" s="18" t="s">
        <v>1082</v>
      </c>
      <c r="K2089" s="18" t="s">
        <v>4962</v>
      </c>
      <c r="L2089" s="18" t="s">
        <v>4963</v>
      </c>
      <c r="M2089" s="18" t="s">
        <v>4964</v>
      </c>
      <c r="N2089" s="30">
        <v>46213</v>
      </c>
      <c r="O2089" s="18"/>
      <c r="P2089" s="18"/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FALTA NF</v>
      </c>
      <c r="R2089" s="18"/>
    </row>
    <row r="2090" spans="1:18">
      <c r="A2090" s="30">
        <v>46206</v>
      </c>
      <c r="B2090" s="30">
        <v>46211</v>
      </c>
      <c r="C2090" s="31">
        <v>13130036</v>
      </c>
      <c r="D2090" s="30" t="str">
        <f>IFERROR(VLOOKUP(Tabela5[[#This Row],[PREFIXO ]],Tabela4[#All],2,0),"CENTRO DE CUSTO")</f>
        <v>PULV AUTOPROP JOHN DEERE M4030</v>
      </c>
      <c r="E2090" s="33" t="s">
        <v>67</v>
      </c>
      <c r="F2090" s="31">
        <v>203</v>
      </c>
      <c r="G2090" s="32">
        <v>4000</v>
      </c>
      <c r="H2090" s="32"/>
      <c r="I2090" s="32">
        <f t="shared" si="33"/>
        <v>4000</v>
      </c>
      <c r="J2090" s="33" t="s">
        <v>1082</v>
      </c>
      <c r="K2090" s="33" t="s">
        <v>4965</v>
      </c>
      <c r="L2090" s="33" t="s">
        <v>4955</v>
      </c>
      <c r="M2090" s="33" t="s">
        <v>4956</v>
      </c>
      <c r="N2090" s="30">
        <v>46211</v>
      </c>
      <c r="O2090" s="33" t="s">
        <v>3230</v>
      </c>
      <c r="P2090" s="33" t="s">
        <v>4957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>
      <c r="A2091" s="30">
        <v>46206</v>
      </c>
      <c r="B2091" s="30">
        <v>46216</v>
      </c>
      <c r="C2091" s="31">
        <v>61521079</v>
      </c>
      <c r="D2091" s="30" t="str">
        <f>IFERROR(VLOOKUP(Tabela5[[#This Row],[PREFIXO ]],Tabela4[#All],2,0),"CENTRO DE CUSTO")</f>
        <v>CAM PIPA BOMB VOLVO VM 330</v>
      </c>
      <c r="E2091" s="33" t="s">
        <v>24</v>
      </c>
      <c r="F2091" s="31" t="s">
        <v>4966</v>
      </c>
      <c r="G2091" s="32">
        <v>792</v>
      </c>
      <c r="H2091" s="32">
        <v>4285.8</v>
      </c>
      <c r="I2091" s="32">
        <f t="shared" si="33"/>
        <v>5077.8</v>
      </c>
      <c r="J2091" s="33" t="s">
        <v>1082</v>
      </c>
      <c r="K2091" s="33" t="s">
        <v>4967</v>
      </c>
      <c r="L2091" s="33" t="s">
        <v>4968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>
      <c r="A2092" s="30">
        <v>46206</v>
      </c>
      <c r="B2092" s="30">
        <v>46211</v>
      </c>
      <c r="C2092" s="31">
        <v>13130033</v>
      </c>
      <c r="D2092" s="30" t="str">
        <f>IFERROR(VLOOKUP(Tabela5[[#This Row],[PREFIXO ]],Tabela4[#All],2,0),"CENTRO DE CUSTO")</f>
        <v>PULV AUTOPROP JOHN DEERE M4030</v>
      </c>
      <c r="E2092" s="33" t="s">
        <v>67</v>
      </c>
      <c r="F2092" s="31">
        <v>210</v>
      </c>
      <c r="G2092" s="32">
        <v>750</v>
      </c>
      <c r="H2092" s="32"/>
      <c r="I2092" s="32">
        <f t="shared" si="33"/>
        <v>750</v>
      </c>
      <c r="J2092" s="33" t="s">
        <v>1082</v>
      </c>
      <c r="K2092" s="33" t="s">
        <v>4969</v>
      </c>
      <c r="L2092" s="33" t="s">
        <v>4955</v>
      </c>
      <c r="M2092" s="33" t="s">
        <v>4956</v>
      </c>
      <c r="N2092" s="30">
        <v>46211</v>
      </c>
      <c r="O2092" s="33" t="s">
        <v>3230</v>
      </c>
      <c r="P2092" s="33" t="s">
        <v>4957</v>
      </c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CONCLUÍDO</v>
      </c>
      <c r="R2092" s="33"/>
    </row>
    <row r="2093" spans="1:18">
      <c r="A2093" s="30">
        <v>46206</v>
      </c>
      <c r="B2093" s="30">
        <v>46211</v>
      </c>
      <c r="C2093" s="31">
        <v>13130046</v>
      </c>
      <c r="D2093" s="30" t="str">
        <f>IFERROR(VLOOKUP(Tabela5[[#This Row],[PREFIXO ]],Tabela4[#All],2,0),"CENTRO DE CUSTO")</f>
        <v>PULV AUTOPROP JOHN DEERE M4030</v>
      </c>
      <c r="E2093" s="33" t="s">
        <v>67</v>
      </c>
      <c r="F2093" s="31">
        <v>207</v>
      </c>
      <c r="G2093" s="32">
        <v>750</v>
      </c>
      <c r="H2093" s="32"/>
      <c r="I2093" s="32">
        <f t="shared" si="33"/>
        <v>750</v>
      </c>
      <c r="J2093" s="18" t="s">
        <v>1082</v>
      </c>
      <c r="K2093" s="33" t="s">
        <v>4970</v>
      </c>
      <c r="L2093" s="33" t="s">
        <v>4955</v>
      </c>
      <c r="M2093" s="33" t="s">
        <v>4956</v>
      </c>
      <c r="N2093" s="30">
        <v>46211</v>
      </c>
      <c r="O2093" s="33" t="s">
        <v>3230</v>
      </c>
      <c r="P2093" s="33" t="s">
        <v>4957</v>
      </c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CONCLUÍDO</v>
      </c>
      <c r="R2093" s="33"/>
    </row>
    <row r="2094" spans="1:18">
      <c r="A2094" s="30">
        <v>46206</v>
      </c>
      <c r="B2094" s="30"/>
      <c r="C2094" s="31">
        <v>81521205</v>
      </c>
      <c r="D2094" s="30" t="str">
        <f>IFERROR(VLOOKUP(Tabela5[[#This Row],[PREFIXO ]],Tabela4[#All],2,0),"CENTRO DE CUSTO")</f>
        <v>SEMI REBOQUE PRANCHA FACCHINI SRCT 4E</v>
      </c>
      <c r="E2094" s="33" t="s">
        <v>24</v>
      </c>
      <c r="F2094" s="31" t="s">
        <v>4971</v>
      </c>
      <c r="G2094" s="32">
        <v>217.8</v>
      </c>
      <c r="H2094" s="32">
        <v>154.80000000000001</v>
      </c>
      <c r="I2094" s="32">
        <f t="shared" si="33"/>
        <v>372.6</v>
      </c>
      <c r="J2094" s="33" t="s">
        <v>1082</v>
      </c>
      <c r="K2094" s="33"/>
      <c r="L2094" s="33"/>
      <c r="M2094" s="33"/>
      <c r="N2094" s="30"/>
      <c r="O2094" s="33"/>
      <c r="P2094" s="33"/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FALTA LANÇAMENTO</v>
      </c>
      <c r="R2094" s="33"/>
    </row>
    <row r="2095" spans="1:18">
      <c r="A2095" s="30">
        <v>46206</v>
      </c>
      <c r="B2095" s="30">
        <v>46216</v>
      </c>
      <c r="C2095" s="31">
        <v>61521107</v>
      </c>
      <c r="D2095" s="30" t="str">
        <f>IFERROR(VLOOKUP(Tabela5[[#This Row],[PREFIXO ]],Tabela4[#All],2,0),"CENTRO DE CUSTO")</f>
        <v>CAMINHAO COMBOIO MB AXOR 3131</v>
      </c>
      <c r="E2095" s="33" t="s">
        <v>250</v>
      </c>
      <c r="F2095" s="31">
        <v>40936</v>
      </c>
      <c r="G2095" s="32">
        <v>800</v>
      </c>
      <c r="H2095" s="32">
        <v>806.01</v>
      </c>
      <c r="I2095" s="32">
        <f t="shared" si="33"/>
        <v>1606.01</v>
      </c>
      <c r="J2095" s="33" t="s">
        <v>1082</v>
      </c>
      <c r="K2095" s="33" t="s">
        <v>4972</v>
      </c>
      <c r="L2095" s="33" t="s">
        <v>4973</v>
      </c>
      <c r="M2095" s="33"/>
      <c r="N2095" s="30"/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O PEDIDO</v>
      </c>
      <c r="R2095" s="33"/>
    </row>
    <row r="2096" spans="1:18">
      <c r="A2096" s="30">
        <v>46206</v>
      </c>
      <c r="B2096" s="30">
        <v>46211</v>
      </c>
      <c r="C2096" s="31">
        <v>11521023</v>
      </c>
      <c r="D2096" s="30" t="str">
        <f>IFERROR(VLOOKUP(Tabela5[[#This Row],[PREFIXO ]],Tabela4[#All],2,0),"CENTRO DE CUSTO")</f>
        <v>TRAT PN MED CASE PUMA 140</v>
      </c>
      <c r="E2096" s="33" t="s">
        <v>67</v>
      </c>
      <c r="F2096" s="31">
        <v>209</v>
      </c>
      <c r="G2096" s="32">
        <v>1350</v>
      </c>
      <c r="H2096" s="32"/>
      <c r="I2096" s="32">
        <f t="shared" si="33"/>
        <v>1350</v>
      </c>
      <c r="J2096" s="33" t="s">
        <v>1082</v>
      </c>
      <c r="K2096" s="33" t="s">
        <v>4974</v>
      </c>
      <c r="L2096" s="33" t="s">
        <v>4975</v>
      </c>
      <c r="M2096" s="33" t="s">
        <v>4976</v>
      </c>
      <c r="N2096" s="30">
        <v>46211</v>
      </c>
      <c r="O2096" s="33" t="s">
        <v>2412</v>
      </c>
      <c r="P2096" s="33" t="s">
        <v>4957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>
      <c r="A2097" s="30">
        <v>46206</v>
      </c>
      <c r="B2097" s="30">
        <v>46211</v>
      </c>
      <c r="C2097" s="31">
        <v>13130036</v>
      </c>
      <c r="D2097" s="30" t="str">
        <f>IFERROR(VLOOKUP(Tabela5[[#This Row],[PREFIXO ]],Tabela4[#All],2,0),"CENTRO DE CUSTO")</f>
        <v>PULV AUTOPROP JOHN DEERE M4030</v>
      </c>
      <c r="E2097" s="33" t="s">
        <v>67</v>
      </c>
      <c r="F2097" s="31">
        <v>204</v>
      </c>
      <c r="G2097" s="32">
        <v>3600</v>
      </c>
      <c r="H2097" s="32"/>
      <c r="I2097" s="32">
        <f t="shared" si="33"/>
        <v>3600</v>
      </c>
      <c r="J2097" s="33" t="s">
        <v>1082</v>
      </c>
      <c r="K2097" s="33" t="s">
        <v>4977</v>
      </c>
      <c r="L2097" s="33" t="s">
        <v>4975</v>
      </c>
      <c r="M2097" s="33" t="s">
        <v>4976</v>
      </c>
      <c r="N2097" s="30">
        <v>46211</v>
      </c>
      <c r="O2097" s="33" t="s">
        <v>2412</v>
      </c>
      <c r="P2097" s="33" t="s">
        <v>4957</v>
      </c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CONCLUÍDO</v>
      </c>
      <c r="R2097" s="33"/>
    </row>
    <row r="2098" spans="1:18">
      <c r="A2098" s="30">
        <v>46204</v>
      </c>
      <c r="B2098" s="30">
        <v>46211</v>
      </c>
      <c r="C2098" s="31">
        <v>35005014</v>
      </c>
      <c r="D2098" s="30" t="str">
        <f>IFERROR(VLOOKUP(Tabela5[[#This Row],[PREFIXO ]],Tabela4[#All],2,0),"CENTRO DE CUSTO")</f>
        <v>PULV AUTOPROP JACTO UNIPORT 3030</v>
      </c>
      <c r="E2098" s="33" t="s">
        <v>96</v>
      </c>
      <c r="F2098" s="31" t="s">
        <v>4978</v>
      </c>
      <c r="G2098" s="32">
        <v>351</v>
      </c>
      <c r="H2098" s="32">
        <v>1170.05</v>
      </c>
      <c r="I2098" s="32">
        <f t="shared" si="33"/>
        <v>1521.05</v>
      </c>
      <c r="J2098" s="33" t="s">
        <v>1077</v>
      </c>
      <c r="K2098" s="33" t="s">
        <v>4979</v>
      </c>
      <c r="L2098" s="33" t="s">
        <v>4980</v>
      </c>
      <c r="M2098" s="33" t="s">
        <v>4981</v>
      </c>
      <c r="N2098" s="30">
        <v>46212</v>
      </c>
      <c r="O2098" s="33"/>
      <c r="P2098" s="33"/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FALTA NF</v>
      </c>
      <c r="R2098" s="33"/>
    </row>
    <row r="2099" spans="1:18">
      <c r="A2099" s="30">
        <v>46204</v>
      </c>
      <c r="B2099" s="30">
        <v>46211</v>
      </c>
      <c r="C2099" s="31">
        <v>51521105</v>
      </c>
      <c r="D2099" s="30" t="str">
        <f>IFERROR(VLOOKUP(Tabela5[[#This Row],[PREFIXO ]],Tabela4[#All],2,0),"CENTRO DE CUSTO")</f>
        <v>COLHEIT DE GRÃOS N.HOLLAND CR 8.90</v>
      </c>
      <c r="E2099" s="33" t="s">
        <v>247</v>
      </c>
      <c r="F2099" s="31">
        <v>136362</v>
      </c>
      <c r="G2099" s="32">
        <v>456</v>
      </c>
      <c r="H2099" s="32">
        <v>304</v>
      </c>
      <c r="I2099" s="32">
        <f t="shared" si="33"/>
        <v>760</v>
      </c>
      <c r="J2099" s="33" t="s">
        <v>1120</v>
      </c>
      <c r="K2099" s="33" t="s">
        <v>4982</v>
      </c>
      <c r="L2099" s="33" t="s">
        <v>4983</v>
      </c>
      <c r="M2099" s="33" t="s">
        <v>4984</v>
      </c>
      <c r="N2099" s="30">
        <v>46212</v>
      </c>
      <c r="O2099" s="33" t="s">
        <v>4985</v>
      </c>
      <c r="P2099" s="33" t="s">
        <v>4957</v>
      </c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CONCLUÍDO</v>
      </c>
      <c r="R2099" s="33"/>
    </row>
    <row r="2100" spans="1:18">
      <c r="A2100" s="30">
        <v>46206</v>
      </c>
      <c r="B2100" s="30">
        <v>46211</v>
      </c>
      <c r="C2100" s="31">
        <v>6173008</v>
      </c>
      <c r="D2100" s="30" t="str">
        <f>IFERROR(VLOOKUP(Tabela5[[#This Row],[PREFIXO ]],Tabela4[#All],2,0),"CENTRO DE CUSTO")</f>
        <v>CAM MUNCK MERC BENZ MB 1513</v>
      </c>
      <c r="E2100" s="33" t="s">
        <v>67</v>
      </c>
      <c r="F2100" s="31">
        <v>206</v>
      </c>
      <c r="G2100" s="32">
        <v>1575</v>
      </c>
      <c r="H2100" s="32"/>
      <c r="I2100" s="32">
        <f t="shared" si="33"/>
        <v>1575</v>
      </c>
      <c r="J2100" s="33" t="s">
        <v>1082</v>
      </c>
      <c r="K2100" s="33" t="s">
        <v>4986</v>
      </c>
      <c r="L2100" s="33" t="s">
        <v>4975</v>
      </c>
      <c r="M2100" s="33" t="s">
        <v>4976</v>
      </c>
      <c r="N2100" s="30">
        <v>46211</v>
      </c>
      <c r="O2100" s="33" t="s">
        <v>2412</v>
      </c>
      <c r="P2100" s="33" t="s">
        <v>4957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>
      <c r="A2101" s="30">
        <v>46206</v>
      </c>
      <c r="B2101" s="30"/>
      <c r="C2101" s="31" t="s">
        <v>4987</v>
      </c>
      <c r="D2101" s="30" t="str">
        <f>IFERROR(VLOOKUP(Tabela5[[#This Row],[PREFIXO ]],Tabela4[#All],2,0),"CENTRO DE CUSTO")</f>
        <v>CENTRO DE CUSTO</v>
      </c>
      <c r="E2101" s="33" t="s">
        <v>66</v>
      </c>
      <c r="F2101" s="31">
        <v>10054</v>
      </c>
      <c r="G2101" s="32">
        <v>52500</v>
      </c>
      <c r="H2101" s="32"/>
      <c r="I2101" s="32">
        <f t="shared" si="33"/>
        <v>52500</v>
      </c>
      <c r="J2101" s="33" t="s">
        <v>1077</v>
      </c>
      <c r="K2101" s="33"/>
      <c r="L2101" s="33"/>
      <c r="M2101" s="33"/>
      <c r="N2101" s="30"/>
      <c r="O2101" s="33"/>
      <c r="P2101" s="33"/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FALTA LANÇAMENTO</v>
      </c>
      <c r="R2101" s="33"/>
    </row>
    <row r="2102" spans="1:18">
      <c r="A2102" s="30">
        <v>46206</v>
      </c>
      <c r="B2102" s="30">
        <v>46211</v>
      </c>
      <c r="C2102" s="31">
        <v>23180066</v>
      </c>
      <c r="D2102" s="30" t="str">
        <f>IFERROR(VLOOKUP(Tabela5[[#This Row],[PREFIXO ]],Tabela4[#All],2,0),"CENTRO DE CUSTO")</f>
        <v>CENTRO DE CUSTO</v>
      </c>
      <c r="E2102" s="33" t="s">
        <v>62</v>
      </c>
      <c r="F2102" s="31">
        <v>1112</v>
      </c>
      <c r="G2102" s="32">
        <v>430</v>
      </c>
      <c r="H2102" s="32"/>
      <c r="I2102" s="32">
        <f t="shared" si="33"/>
        <v>430</v>
      </c>
      <c r="J2102" s="33" t="s">
        <v>1120</v>
      </c>
      <c r="K2102" s="33" t="s">
        <v>4988</v>
      </c>
      <c r="L2102" s="33" t="s">
        <v>4989</v>
      </c>
      <c r="M2102" s="33" t="s">
        <v>4990</v>
      </c>
      <c r="N2102" s="30">
        <v>46213</v>
      </c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NF</v>
      </c>
      <c r="R2102" s="33"/>
    </row>
    <row r="2103" spans="1:18">
      <c r="A2103" s="30">
        <v>46206</v>
      </c>
      <c r="B2103" s="30">
        <v>46212</v>
      </c>
      <c r="C2103" s="31">
        <v>51519062</v>
      </c>
      <c r="D2103" s="30" t="str">
        <f>IFERROR(VLOOKUP(Tabela5[[#This Row],[PREFIXO ]],Tabela4[#All],2,0),"CENTRO DE CUSTO")</f>
        <v>CENTRO DE CUSTO</v>
      </c>
      <c r="E2103" s="33" t="s">
        <v>17</v>
      </c>
      <c r="F2103" s="31">
        <v>44871</v>
      </c>
      <c r="G2103" s="32">
        <v>2740.5</v>
      </c>
      <c r="H2103" s="32">
        <v>8114.91</v>
      </c>
      <c r="I2103" s="32">
        <f t="shared" si="33"/>
        <v>10855.41</v>
      </c>
      <c r="J2103" s="33" t="s">
        <v>1120</v>
      </c>
      <c r="K2103" s="33" t="s">
        <v>4991</v>
      </c>
      <c r="L2103" s="33" t="s">
        <v>4992</v>
      </c>
      <c r="M2103" s="33" t="s">
        <v>4993</v>
      </c>
      <c r="N2103" s="30">
        <v>46213</v>
      </c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NF</v>
      </c>
      <c r="R2103" s="33"/>
    </row>
    <row r="2104" spans="1:18">
      <c r="A2104" s="30">
        <v>46206</v>
      </c>
      <c r="B2104" s="30">
        <v>46216</v>
      </c>
      <c r="C2104" s="31">
        <v>51521052</v>
      </c>
      <c r="D2104" s="30" t="str">
        <f>IFERROR(VLOOKUP(Tabela5[[#This Row],[PREFIXO ]],Tabela4[#All],2,0),"CENTRO DE CUSTO")</f>
        <v>COLHED ALGODÃO JOHN DEERE CP 690</v>
      </c>
      <c r="E2104" s="33" t="s">
        <v>17</v>
      </c>
      <c r="F2104" s="31">
        <v>44437</v>
      </c>
      <c r="G2104" s="32">
        <v>4655.37</v>
      </c>
      <c r="H2104" s="32">
        <v>51896.85</v>
      </c>
      <c r="I2104" s="32">
        <f t="shared" si="33"/>
        <v>56552.22</v>
      </c>
      <c r="J2104" s="33" t="s">
        <v>1120</v>
      </c>
      <c r="K2104" s="33" t="s">
        <v>4994</v>
      </c>
      <c r="L2104" s="33" t="s">
        <v>4995</v>
      </c>
      <c r="M2104" s="33"/>
      <c r="N2104" s="30"/>
      <c r="O2104" s="33"/>
      <c r="P2104" s="33"/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FALTA O PEDIDO</v>
      </c>
      <c r="R2104" s="33"/>
    </row>
    <row r="2105" spans="1:18">
      <c r="A2105" s="30">
        <v>46206</v>
      </c>
      <c r="B2105" s="30"/>
      <c r="C2105" s="31">
        <v>5005800325</v>
      </c>
      <c r="D2105" s="30" t="str">
        <f>IFERROR(VLOOKUP(Tabela5[[#This Row],[PREFIXO ]],Tabela4[#All],2,0),"CENTRO DE CUSTO")</f>
        <v>CENTRO DE CUSTO</v>
      </c>
      <c r="E2105" s="33" t="s">
        <v>249</v>
      </c>
      <c r="F2105" s="31">
        <v>254</v>
      </c>
      <c r="G2105" s="32">
        <v>31150</v>
      </c>
      <c r="H2105" s="32"/>
      <c r="I2105" s="32">
        <f t="shared" si="33"/>
        <v>31150</v>
      </c>
      <c r="J2105" s="33" t="s">
        <v>1120</v>
      </c>
      <c r="K2105" s="33"/>
      <c r="L2105" s="33"/>
      <c r="M2105" s="33"/>
      <c r="N2105" s="30"/>
      <c r="O2105" s="33"/>
      <c r="P2105" s="33"/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FALTA LANÇAMENTO</v>
      </c>
      <c r="R2105" s="33"/>
    </row>
    <row r="2106" spans="1:18">
      <c r="A2106" s="30">
        <v>46206</v>
      </c>
      <c r="B2106" s="30">
        <v>46211</v>
      </c>
      <c r="C2106" s="31">
        <v>15770033</v>
      </c>
      <c r="D2106" s="30" t="str">
        <f>IFERROR(VLOOKUP(Tabela5[[#This Row],[PREFIXO ]],Tabela4[#All],2,0),"CENTRO DE CUSTO")</f>
        <v>PLATAF ROÇAGEM WATANABE MAVERICK</v>
      </c>
      <c r="E2106" s="33" t="s">
        <v>173</v>
      </c>
      <c r="F2106" s="31">
        <v>1210</v>
      </c>
      <c r="G2106" s="32">
        <v>225</v>
      </c>
      <c r="H2106" s="32">
        <v>9347.0300000000007</v>
      </c>
      <c r="I2106" s="32">
        <f t="shared" si="33"/>
        <v>9572.0300000000007</v>
      </c>
      <c r="J2106" s="33" t="s">
        <v>1120</v>
      </c>
      <c r="K2106" s="33" t="s">
        <v>4996</v>
      </c>
      <c r="L2106" s="33" t="s">
        <v>4997</v>
      </c>
      <c r="M2106" s="33" t="s">
        <v>4998</v>
      </c>
      <c r="N2106" s="30">
        <v>46213</v>
      </c>
      <c r="O2106" s="33" t="s">
        <v>4999</v>
      </c>
      <c r="P2106" s="33" t="s">
        <v>5000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>
      <c r="A2107" s="30">
        <v>46206</v>
      </c>
      <c r="B2107" s="30">
        <v>46212</v>
      </c>
      <c r="C2107" s="31">
        <v>51521065</v>
      </c>
      <c r="D2107" s="30" t="str">
        <f>IFERROR(VLOOKUP(Tabela5[[#This Row],[PREFIXO ]],Tabela4[#All],2,0),"CENTRO DE CUSTO")</f>
        <v>COLHED ALGODÃO JOHN DEERE CP 690</v>
      </c>
      <c r="E2107" s="33" t="s">
        <v>17</v>
      </c>
      <c r="F2107" s="31">
        <v>44461</v>
      </c>
      <c r="G2107" s="32">
        <v>5192.6000000000004</v>
      </c>
      <c r="H2107" s="32">
        <v>2314.2199999999998</v>
      </c>
      <c r="I2107" s="32">
        <f t="shared" si="33"/>
        <v>7506.82</v>
      </c>
      <c r="J2107" s="33" t="s">
        <v>1120</v>
      </c>
      <c r="K2107" s="33" t="s">
        <v>5001</v>
      </c>
      <c r="L2107" s="33" t="s">
        <v>5002</v>
      </c>
      <c r="M2107" s="33" t="s">
        <v>5003</v>
      </c>
      <c r="N2107" s="30">
        <v>46213</v>
      </c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NF</v>
      </c>
      <c r="R2107" s="33"/>
    </row>
    <row r="2108" spans="1:18">
      <c r="A2108" s="30">
        <v>46206</v>
      </c>
      <c r="B2108" s="30">
        <v>46211</v>
      </c>
      <c r="C2108" s="31">
        <v>15770029</v>
      </c>
      <c r="D2108" s="30" t="str">
        <f>IFERROR(VLOOKUP(Tabela5[[#This Row],[PREFIXO ]],Tabela4[#All],2,0),"CENTRO DE CUSTO")</f>
        <v>PLATAF ROÇAGEM WATANABE MAVERICK</v>
      </c>
      <c r="E2108" s="33" t="s">
        <v>173</v>
      </c>
      <c r="F2108" s="31">
        <v>1209</v>
      </c>
      <c r="G2108" s="32">
        <v>5223.84</v>
      </c>
      <c r="H2108" s="32">
        <v>225</v>
      </c>
      <c r="I2108" s="32">
        <f t="shared" ref="I2108:I2146" si="34">G2108+H2108</f>
        <v>5448.84</v>
      </c>
      <c r="J2108" s="33" t="s">
        <v>1120</v>
      </c>
      <c r="K2108" s="33" t="s">
        <v>5004</v>
      </c>
      <c r="L2108" s="33" t="s">
        <v>5005</v>
      </c>
      <c r="M2108" s="33" t="s">
        <v>5006</v>
      </c>
      <c r="N2108" s="30">
        <v>46213</v>
      </c>
      <c r="O2108" s="33" t="s">
        <v>5007</v>
      </c>
      <c r="P2108" s="33" t="s">
        <v>5000</v>
      </c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CONCLUÍDO</v>
      </c>
      <c r="R2108" s="33"/>
    </row>
    <row r="2109" spans="1:18">
      <c r="A2109" s="30">
        <v>46206</v>
      </c>
      <c r="B2109" s="30">
        <v>46213</v>
      </c>
      <c r="C2109" s="31">
        <v>500580325</v>
      </c>
      <c r="D2109" s="30" t="str">
        <f>IFERROR(VLOOKUP(Tabela5[[#This Row],[PREFIXO ]],Tabela4[#All],2,0),"CENTRO DE CUSTO")</f>
        <v>Colheitad. Alg Auto</v>
      </c>
      <c r="E2109" s="33" t="s">
        <v>269</v>
      </c>
      <c r="F2109" s="31">
        <v>1593</v>
      </c>
      <c r="G2109" s="32">
        <v>3600</v>
      </c>
      <c r="H2109" s="32"/>
      <c r="I2109" s="32">
        <f t="shared" si="34"/>
        <v>3600</v>
      </c>
      <c r="J2109" s="33" t="s">
        <v>1120</v>
      </c>
      <c r="K2109" s="33" t="s">
        <v>5008</v>
      </c>
      <c r="L2109" s="33" t="s">
        <v>5009</v>
      </c>
      <c r="M2109" s="33" t="s">
        <v>5010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>
      <c r="A2110" s="30">
        <v>46206</v>
      </c>
      <c r="B2110" s="30"/>
      <c r="C2110" s="31">
        <v>8173364</v>
      </c>
      <c r="D2110" s="30" t="str">
        <f>IFERROR(VLOOKUP(Tabela5[[#This Row],[PREFIXO ]],Tabela4[#All],2,0),"CENTRO DE CUSTO")</f>
        <v>SEMI REBOQUE PRANCHA FACCHINI SRF CT</v>
      </c>
      <c r="E2110" s="33" t="s">
        <v>341</v>
      </c>
      <c r="F2110" s="31" t="s">
        <v>5011</v>
      </c>
      <c r="G2110" s="32">
        <v>4265.8500000000004</v>
      </c>
      <c r="H2110" s="32">
        <v>48833.599999999999</v>
      </c>
      <c r="I2110" s="32">
        <f t="shared" si="34"/>
        <v>53099.45</v>
      </c>
      <c r="J2110" s="33" t="s">
        <v>1120</v>
      </c>
      <c r="K2110" s="33"/>
      <c r="L2110" s="33"/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LANÇAMENTO</v>
      </c>
      <c r="R2110" s="33"/>
    </row>
    <row r="2111" spans="1:18">
      <c r="A2111" s="30">
        <v>46206</v>
      </c>
      <c r="B2111" s="30">
        <v>46216</v>
      </c>
      <c r="C2111" s="31">
        <v>51521091</v>
      </c>
      <c r="D2111" s="30" t="str">
        <f>IFERROR(VLOOKUP(Tabela5[[#This Row],[PREFIXO ]],Tabela4[#All],2,0),"CENTRO DE CUSTO")</f>
        <v>COLHEIT DE GRÃOS N.HOLLAND CR 8.90</v>
      </c>
      <c r="E2111" s="33" t="s">
        <v>308</v>
      </c>
      <c r="F2111" s="31" t="s">
        <v>2741</v>
      </c>
      <c r="G2111" s="32">
        <v>37056</v>
      </c>
      <c r="H2111" s="32"/>
      <c r="I2111" s="32">
        <f t="shared" si="34"/>
        <v>37056</v>
      </c>
      <c r="J2111" s="33" t="s">
        <v>1120</v>
      </c>
      <c r="K2111" s="33" t="s">
        <v>5012</v>
      </c>
      <c r="L2111" s="33" t="s">
        <v>5013</v>
      </c>
      <c r="M2111" s="33"/>
      <c r="N2111" s="30"/>
      <c r="O2111" s="33"/>
      <c r="P2111" s="33"/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FALTA O PEDIDO</v>
      </c>
      <c r="R2111" s="33"/>
    </row>
    <row r="2112" spans="1:18">
      <c r="A2112" s="30">
        <v>46206</v>
      </c>
      <c r="B2112" s="30">
        <v>46211</v>
      </c>
      <c r="C2112" s="31">
        <v>51521088</v>
      </c>
      <c r="D2112" s="30" t="str">
        <f>IFERROR(VLOOKUP(Tabela5[[#This Row],[PREFIXO ]],Tabela4[#All],2,0),"CENTRO DE CUSTO")</f>
        <v>COLHEIT DE GRÃOS N.HOLLAND CR 8.90</v>
      </c>
      <c r="E2112" s="33" t="s">
        <v>346</v>
      </c>
      <c r="F2112" s="31" t="s">
        <v>2168</v>
      </c>
      <c r="G2112" s="32">
        <v>2487.6</v>
      </c>
      <c r="H2112" s="32"/>
      <c r="I2112" s="32">
        <f t="shared" si="34"/>
        <v>2487.6</v>
      </c>
      <c r="J2112" s="33" t="s">
        <v>1120</v>
      </c>
      <c r="K2112" s="33" t="s">
        <v>5014</v>
      </c>
      <c r="L2112" s="33" t="s">
        <v>5015</v>
      </c>
      <c r="M2112" s="33" t="s">
        <v>5016</v>
      </c>
      <c r="N2112" s="30">
        <v>46213</v>
      </c>
      <c r="O2112" s="33"/>
      <c r="P2112" s="33"/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FALTA NF</v>
      </c>
      <c r="R2112" s="33"/>
    </row>
    <row r="2113" spans="1:18">
      <c r="A2113" s="30">
        <v>46206</v>
      </c>
      <c r="B2113" s="30">
        <v>46216</v>
      </c>
      <c r="C2113" s="31">
        <v>51521105</v>
      </c>
      <c r="D2113" s="30" t="str">
        <f>IFERROR(VLOOKUP(Tabela5[[#This Row],[PREFIXO ]],Tabela4[#All],2,0),"CENTRO DE CUSTO")</f>
        <v>COLHEIT DE GRÃOS N.HOLLAND CR 8.90</v>
      </c>
      <c r="E2113" s="33" t="s">
        <v>346</v>
      </c>
      <c r="F2113" s="31" t="s">
        <v>2164</v>
      </c>
      <c r="G2113" s="32">
        <v>18618</v>
      </c>
      <c r="H2113" s="32"/>
      <c r="I2113" s="32">
        <f t="shared" si="34"/>
        <v>18618</v>
      </c>
      <c r="J2113" s="33" t="s">
        <v>1120</v>
      </c>
      <c r="K2113" s="33" t="s">
        <v>5017</v>
      </c>
      <c r="L2113" s="33" t="s">
        <v>5018</v>
      </c>
      <c r="M2113" s="33" t="s">
        <v>5019</v>
      </c>
      <c r="N2113" s="30">
        <v>46217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>
      <c r="A2114" s="30">
        <v>46206</v>
      </c>
      <c r="B2114" s="30">
        <v>46216</v>
      </c>
      <c r="C2114" s="31">
        <v>500580325</v>
      </c>
      <c r="D2114" s="30" t="str">
        <f>IFERROR(VLOOKUP(Tabela5[[#This Row],[PREFIXO ]],Tabela4[#All],2,0),"CENTRO DE CUSTO")</f>
        <v>Colheitad. Alg Auto</v>
      </c>
      <c r="E2114" s="33" t="s">
        <v>62</v>
      </c>
      <c r="F2114" s="31">
        <v>1463</v>
      </c>
      <c r="G2114" s="32">
        <v>36845</v>
      </c>
      <c r="H2114" s="32"/>
      <c r="I2114" s="32">
        <f t="shared" si="34"/>
        <v>36845</v>
      </c>
      <c r="J2114" s="33" t="s">
        <v>1120</v>
      </c>
      <c r="K2114" s="33" t="s">
        <v>5020</v>
      </c>
      <c r="L2114" s="33" t="s">
        <v>5021</v>
      </c>
      <c r="M2114" s="33" t="s">
        <v>5022</v>
      </c>
      <c r="N2114" s="30">
        <v>46216</v>
      </c>
      <c r="O2114" s="33"/>
      <c r="P2114" s="33"/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FALTA NF</v>
      </c>
      <c r="R2114" s="33"/>
    </row>
    <row r="2115" spans="1:18">
      <c r="A2115" s="30">
        <v>46206</v>
      </c>
      <c r="B2115" s="30">
        <v>46211</v>
      </c>
      <c r="C2115" s="31">
        <v>61521088</v>
      </c>
      <c r="D2115" s="30" t="str">
        <f>IFERROR(VLOOKUP(Tabela5[[#This Row],[PREFIXO ]],Tabela4[#All],2,0),"CENTRO DE CUSTO")</f>
        <v>PA CARREGADEIRA JOHN DEERE 524 K II</v>
      </c>
      <c r="E2115" s="33" t="s">
        <v>340</v>
      </c>
      <c r="F2115" s="31">
        <v>649</v>
      </c>
      <c r="G2115" s="32">
        <v>1913</v>
      </c>
      <c r="H2115" s="32"/>
      <c r="I2115" s="32">
        <f t="shared" si="34"/>
        <v>1913</v>
      </c>
      <c r="J2115" s="33" t="s">
        <v>1077</v>
      </c>
      <c r="K2115" s="33" t="s">
        <v>5023</v>
      </c>
      <c r="L2115" s="33" t="s">
        <v>5024</v>
      </c>
      <c r="M2115" s="33" t="s">
        <v>5025</v>
      </c>
      <c r="N2115" s="30">
        <v>46211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>
      <c r="A2116" s="30">
        <v>46205</v>
      </c>
      <c r="B2116" s="30">
        <v>46211</v>
      </c>
      <c r="C2116" s="31">
        <v>500580579</v>
      </c>
      <c r="D2116" s="30" t="str">
        <f>IFERROR(VLOOKUP(Tabela5[[#This Row],[PREFIXO ]],Tabela4[#All],2,0),"CENTRO DE CUSTO")</f>
        <v>Pátio de Vendas</v>
      </c>
      <c r="E2116" s="33" t="s">
        <v>249</v>
      </c>
      <c r="F2116" s="31">
        <v>250</v>
      </c>
      <c r="G2116" s="32">
        <v>8225</v>
      </c>
      <c r="H2116" s="32"/>
      <c r="I2116" s="32">
        <f t="shared" si="34"/>
        <v>8225</v>
      </c>
      <c r="J2116" s="33" t="s">
        <v>1248</v>
      </c>
      <c r="K2116" s="33" t="s">
        <v>5026</v>
      </c>
      <c r="L2116" s="33" t="s">
        <v>5027</v>
      </c>
      <c r="M2116" s="33" t="s">
        <v>5028</v>
      </c>
      <c r="N2116" s="30">
        <v>46211</v>
      </c>
      <c r="O2116" s="33" t="s">
        <v>5029</v>
      </c>
      <c r="P2116" s="33" t="s">
        <v>4957</v>
      </c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CONCLUÍDO</v>
      </c>
      <c r="R2116" s="33"/>
    </row>
    <row r="2117" spans="1:18">
      <c r="A2117" s="30">
        <v>46206</v>
      </c>
      <c r="B2117" s="30">
        <v>46210</v>
      </c>
      <c r="C2117" s="31" t="s">
        <v>5030</v>
      </c>
      <c r="D2117" s="30" t="str">
        <f>IFERROR(VLOOKUP(Tabela5[[#This Row],[PREFIXO ]],Tabela4[#All],2,0),"CENTRO DE CUSTO")</f>
        <v>CENTRO DE CUSTO</v>
      </c>
      <c r="E2117" s="33" t="s">
        <v>62</v>
      </c>
      <c r="F2117" s="31">
        <v>1470</v>
      </c>
      <c r="G2117" s="32">
        <v>36000</v>
      </c>
      <c r="H2117" s="32"/>
      <c r="I2117" s="32">
        <f t="shared" si="34"/>
        <v>36000</v>
      </c>
      <c r="J2117" s="33" t="s">
        <v>5031</v>
      </c>
      <c r="K2117" s="33" t="s">
        <v>5032</v>
      </c>
      <c r="L2117" s="33" t="s">
        <v>5033</v>
      </c>
      <c r="M2117" s="33" t="s">
        <v>5034</v>
      </c>
      <c r="N2117" s="39">
        <v>46213</v>
      </c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NF</v>
      </c>
      <c r="R2117" s="33"/>
    </row>
    <row r="2118" spans="1:18">
      <c r="A2118" s="30">
        <v>46206</v>
      </c>
      <c r="B2118" s="30">
        <v>46210</v>
      </c>
      <c r="C2118" s="31">
        <v>500580069</v>
      </c>
      <c r="D2118" s="30" t="str">
        <f>IFERROR(VLOOKUP(Tabela5[[#This Row],[PREFIXO ]],Tabela4[#All],2,0),"CENTRO DE CUSTO")</f>
        <v>Oficina Mecânica</v>
      </c>
      <c r="E2118" s="33" t="s">
        <v>62</v>
      </c>
      <c r="F2118" s="31">
        <v>1467</v>
      </c>
      <c r="G2118" s="32">
        <v>850</v>
      </c>
      <c r="H2118" s="32"/>
      <c r="I2118" s="32">
        <f t="shared" si="34"/>
        <v>850</v>
      </c>
      <c r="J2118" s="33" t="s">
        <v>5031</v>
      </c>
      <c r="K2118" s="33" t="s">
        <v>5035</v>
      </c>
      <c r="L2118" s="33" t="s">
        <v>5033</v>
      </c>
      <c r="M2118" s="33" t="s">
        <v>5034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>
      <c r="A2119" s="30">
        <v>46206</v>
      </c>
      <c r="B2119" s="30">
        <v>46211</v>
      </c>
      <c r="C2119" s="31">
        <v>11521030</v>
      </c>
      <c r="D2119" s="30" t="str">
        <f>IFERROR(VLOOKUP(Tabela5[[#This Row],[PREFIXO ]],Tabela4[#All],2,0),"CENTRO DE CUSTO")</f>
        <v>TRAT PN EXT PES FENDT 1046 VARIO</v>
      </c>
      <c r="E2119" s="33" t="s">
        <v>259</v>
      </c>
      <c r="F2119" s="31">
        <v>63305598</v>
      </c>
      <c r="G2119" s="32">
        <v>50.43</v>
      </c>
      <c r="H2119" s="32">
        <v>11021.94</v>
      </c>
      <c r="I2119" s="32">
        <f t="shared" si="34"/>
        <v>11072.37</v>
      </c>
      <c r="J2119" s="33" t="s">
        <v>1196</v>
      </c>
      <c r="K2119" s="33" t="s">
        <v>5036</v>
      </c>
      <c r="L2119" s="33" t="s">
        <v>5037</v>
      </c>
      <c r="M2119" s="33" t="s">
        <v>5038</v>
      </c>
      <c r="N2119" s="30">
        <v>46213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>
      <c r="A2120" s="16">
        <v>46206</v>
      </c>
      <c r="B2120" s="16">
        <v>46211</v>
      </c>
      <c r="C2120" s="21">
        <v>500580097</v>
      </c>
      <c r="D2120" s="16" t="str">
        <f>IFERROR(VLOOKUP(Tabela5[[#This Row],[PREFIXO ]],Tabela4[#All],2,0),"CENTRO DE CUSTO")</f>
        <v>Subsoladores</v>
      </c>
      <c r="E2120" s="18" t="s">
        <v>62</v>
      </c>
      <c r="F2120" s="21">
        <v>1469</v>
      </c>
      <c r="G2120" s="22">
        <v>7876</v>
      </c>
      <c r="H2120" s="22"/>
      <c r="I2120" s="22">
        <f t="shared" si="34"/>
        <v>7876</v>
      </c>
      <c r="J2120" s="18" t="s">
        <v>1196</v>
      </c>
      <c r="K2120" s="18" t="s">
        <v>5039</v>
      </c>
      <c r="L2120" s="18" t="s">
        <v>4989</v>
      </c>
      <c r="M2120" s="18" t="s">
        <v>4990</v>
      </c>
      <c r="N2120" s="30">
        <v>46213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>
      <c r="A2121" s="16">
        <v>46210</v>
      </c>
      <c r="B2121" s="16"/>
      <c r="C2121" s="21">
        <v>61524006</v>
      </c>
      <c r="D2121" s="16" t="str">
        <f>IFERROR(VLOOKUP(Tabela5[[#This Row],[PREFIXO ]],Tabela4[#All],2,0),"CENTRO DE CUSTO")</f>
        <v>PA CARREGADEIRA JOHN DEERE 524 K II</v>
      </c>
      <c r="E2121" s="18" t="s">
        <v>68</v>
      </c>
      <c r="F2121" s="21" t="s">
        <v>5040</v>
      </c>
      <c r="G2121" s="22">
        <v>25000</v>
      </c>
      <c r="H2121" s="22">
        <v>15475.87</v>
      </c>
      <c r="I2121" s="22">
        <f t="shared" si="34"/>
        <v>40475.870000000003</v>
      </c>
      <c r="J2121" s="18" t="s">
        <v>5041</v>
      </c>
      <c r="K2121" s="18" t="s">
        <v>5042</v>
      </c>
      <c r="L2121" s="18"/>
      <c r="M2121" s="18"/>
      <c r="N2121" s="30"/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LANÇAMENTO</v>
      </c>
      <c r="R2121" s="18"/>
    </row>
    <row r="2122" spans="1:18">
      <c r="A2122" s="16">
        <v>46210</v>
      </c>
      <c r="B2122" s="16">
        <v>46212</v>
      </c>
      <c r="C2122" s="21">
        <v>51521054</v>
      </c>
      <c r="D2122" s="16" t="str">
        <f>IFERROR(VLOOKUP(Tabela5[[#This Row],[PREFIXO ]],Tabela4[#All],2,0),"CENTRO DE CUSTO")</f>
        <v>COLHED ALGODÃO JOHN DEERE CP 690</v>
      </c>
      <c r="E2122" s="18" t="s">
        <v>67</v>
      </c>
      <c r="F2122" s="21">
        <v>211</v>
      </c>
      <c r="G2122" s="22">
        <v>920</v>
      </c>
      <c r="H2122" s="22"/>
      <c r="I2122" s="22">
        <f t="shared" si="34"/>
        <v>920</v>
      </c>
      <c r="J2122" s="18" t="s">
        <v>1120</v>
      </c>
      <c r="K2122" s="18" t="s">
        <v>5043</v>
      </c>
      <c r="L2122" s="18" t="s">
        <v>5044</v>
      </c>
      <c r="M2122" s="18" t="s">
        <v>5045</v>
      </c>
      <c r="N2122" s="30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>
      <c r="A2123" s="16">
        <v>46210</v>
      </c>
      <c r="B2123" s="16">
        <v>46212</v>
      </c>
      <c r="C2123" s="21">
        <v>51521051</v>
      </c>
      <c r="D2123" s="16" t="str">
        <f>IFERROR(VLOOKUP(Tabela5[[#This Row],[PREFIXO ]],Tabela4[#All],2,0),"CENTRO DE CUSTO")</f>
        <v>COLHED ALGODÃO JOHN DEERE CP 690</v>
      </c>
      <c r="E2123" s="18" t="s">
        <v>67</v>
      </c>
      <c r="F2123" s="21">
        <v>201</v>
      </c>
      <c r="G2123" s="22">
        <v>2760</v>
      </c>
      <c r="H2123" s="22"/>
      <c r="I2123" s="22">
        <f t="shared" si="34"/>
        <v>2760</v>
      </c>
      <c r="J2123" s="18" t="s">
        <v>1120</v>
      </c>
      <c r="K2123" s="18" t="s">
        <v>5046</v>
      </c>
      <c r="L2123" s="18" t="s">
        <v>5047</v>
      </c>
      <c r="M2123" s="18" t="s">
        <v>5048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>
      <c r="A2124" s="30">
        <v>46210</v>
      </c>
      <c r="B2124" s="30">
        <v>46212</v>
      </c>
      <c r="C2124" s="31">
        <v>51521051</v>
      </c>
      <c r="D2124" s="30" t="str">
        <f>IFERROR(VLOOKUP(Tabela5[[#This Row],[PREFIXO ]],Tabela4[#All],2,0),"CENTRO DE CUSTO")</f>
        <v>COLHED ALGODÃO JOHN DEERE CP 690</v>
      </c>
      <c r="E2124" s="33" t="s">
        <v>67</v>
      </c>
      <c r="F2124" s="31">
        <v>208</v>
      </c>
      <c r="G2124" s="32">
        <v>4275</v>
      </c>
      <c r="H2124" s="32"/>
      <c r="I2124" s="32">
        <f t="shared" si="34"/>
        <v>4275</v>
      </c>
      <c r="J2124" s="33" t="s">
        <v>1120</v>
      </c>
      <c r="K2124" s="33" t="s">
        <v>5049</v>
      </c>
      <c r="L2124" s="33" t="s">
        <v>5047</v>
      </c>
      <c r="M2124" s="33" t="s">
        <v>5048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>
      <c r="A2125" s="30">
        <v>46210</v>
      </c>
      <c r="B2125" s="30">
        <v>46212</v>
      </c>
      <c r="C2125" s="31">
        <v>51521053</v>
      </c>
      <c r="D2125" s="30" t="str">
        <f>IFERROR(VLOOKUP(Tabela5[[#This Row],[PREFIXO ]],Tabela4[#All],2,0),"CENTRO DE CUSTO")</f>
        <v>COLHED ALGODÃO JOHN DEERE CP 690</v>
      </c>
      <c r="E2125" s="33" t="s">
        <v>67</v>
      </c>
      <c r="F2125" s="31">
        <v>197</v>
      </c>
      <c r="G2125" s="32">
        <v>3680</v>
      </c>
      <c r="H2125" s="32"/>
      <c r="I2125" s="32">
        <f t="shared" si="34"/>
        <v>3680</v>
      </c>
      <c r="J2125" s="33" t="s">
        <v>1120</v>
      </c>
      <c r="K2125" s="33" t="s">
        <v>5050</v>
      </c>
      <c r="L2125" s="33" t="s">
        <v>5044</v>
      </c>
      <c r="M2125" s="33" t="s">
        <v>5045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>
      <c r="A2126" s="30">
        <v>46210</v>
      </c>
      <c r="B2126" s="30">
        <v>46216</v>
      </c>
      <c r="C2126" s="31">
        <v>51521052</v>
      </c>
      <c r="D2126" s="30" t="str">
        <f>IFERROR(VLOOKUP(Tabela5[[#This Row],[PREFIXO ]],Tabela4[#All],2,0),"CENTRO DE CUSTO")</f>
        <v>COLHED ALGODÃO JOHN DEERE CP 690</v>
      </c>
      <c r="E2126" s="33" t="s">
        <v>67</v>
      </c>
      <c r="F2126" s="31">
        <v>200</v>
      </c>
      <c r="G2126" s="32">
        <v>1840</v>
      </c>
      <c r="H2126" s="32"/>
      <c r="I2126" s="32">
        <f t="shared" si="34"/>
        <v>1840</v>
      </c>
      <c r="J2126" s="33" t="s">
        <v>1120</v>
      </c>
      <c r="K2126" s="33" t="s">
        <v>5051</v>
      </c>
      <c r="L2126" s="33" t="s">
        <v>5052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>
      <c r="A2127" s="30">
        <v>46210</v>
      </c>
      <c r="B2127" s="30">
        <v>46212</v>
      </c>
      <c r="C2127" s="31">
        <v>51521053</v>
      </c>
      <c r="D2127" s="30" t="str">
        <f>IFERROR(VLOOKUP(Tabela5[[#This Row],[PREFIXO ]],Tabela4[#All],2,0),"CENTRO DE CUSTO")</f>
        <v>COLHED ALGODÃO JOHN DEERE CP 690</v>
      </c>
      <c r="E2127" s="33" t="s">
        <v>67</v>
      </c>
      <c r="F2127" s="31">
        <v>199</v>
      </c>
      <c r="G2127" s="32">
        <v>1610</v>
      </c>
      <c r="H2127" s="32"/>
      <c r="I2127" s="32">
        <f t="shared" si="34"/>
        <v>1610</v>
      </c>
      <c r="J2127" s="33" t="s">
        <v>1120</v>
      </c>
      <c r="K2127" s="33" t="s">
        <v>5053</v>
      </c>
      <c r="L2127" s="33" t="s">
        <v>5044</v>
      </c>
      <c r="M2127" s="33" t="s">
        <v>5045</v>
      </c>
      <c r="N2127" s="30">
        <v>46213</v>
      </c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NF</v>
      </c>
      <c r="R2127" s="33"/>
    </row>
    <row r="2128" spans="1:18">
      <c r="A2128" s="30">
        <v>46210</v>
      </c>
      <c r="B2128" s="30">
        <v>46212</v>
      </c>
      <c r="C2128" s="31">
        <v>5173117</v>
      </c>
      <c r="D2128" s="30" t="str">
        <f>IFERROR(VLOOKUP(Tabela5[[#This Row],[PREFIXO ]],Tabela4[#All],2,0),"CENTRO DE CUSTO")</f>
        <v>COLHED ALGODÃO JOHN DEERE 7760</v>
      </c>
      <c r="E2128" s="33" t="s">
        <v>67</v>
      </c>
      <c r="F2128" s="31">
        <v>196</v>
      </c>
      <c r="G2128" s="32">
        <v>3775</v>
      </c>
      <c r="H2128" s="32"/>
      <c r="I2128" s="32">
        <f t="shared" si="34"/>
        <v>3775</v>
      </c>
      <c r="J2128" s="33" t="s">
        <v>1120</v>
      </c>
      <c r="K2128" s="33" t="s">
        <v>5054</v>
      </c>
      <c r="L2128" s="33" t="s">
        <v>5044</v>
      </c>
      <c r="M2128" s="33" t="s">
        <v>5045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>
      <c r="A2129" s="30">
        <v>46210</v>
      </c>
      <c r="B2129" s="30">
        <v>46212</v>
      </c>
      <c r="C2129" s="31">
        <v>51521053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198</v>
      </c>
      <c r="G2129" s="32">
        <v>2760</v>
      </c>
      <c r="H2129" s="32"/>
      <c r="I2129" s="32">
        <f t="shared" si="34"/>
        <v>2760</v>
      </c>
      <c r="J2129" s="33" t="s">
        <v>1120</v>
      </c>
      <c r="K2129" s="33" t="s">
        <v>5055</v>
      </c>
      <c r="L2129" s="33" t="s">
        <v>5044</v>
      </c>
      <c r="M2129" s="33" t="s">
        <v>5045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202</v>
      </c>
      <c r="G2130" s="32">
        <v>1610</v>
      </c>
      <c r="H2130" s="32"/>
      <c r="I2130" s="32">
        <f t="shared" si="34"/>
        <v>1610</v>
      </c>
      <c r="J2130" s="33" t="s">
        <v>1120</v>
      </c>
      <c r="K2130" s="33" t="s">
        <v>5056</v>
      </c>
      <c r="L2130" s="33" t="s">
        <v>5044</v>
      </c>
      <c r="M2130" s="33" t="s">
        <v>5045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>
      <c r="A2131" s="30">
        <v>46210</v>
      </c>
      <c r="B2131" s="30">
        <v>46213</v>
      </c>
      <c r="C2131" s="31" t="s">
        <v>5057</v>
      </c>
      <c r="D2131" s="30" t="str">
        <f>IFERROR(VLOOKUP(Tabela5[[#This Row],[PREFIXO ]],Tabela4[#All],2,0),"CENTRO DE CUSTO")</f>
        <v>CENTRO DE CUSTO</v>
      </c>
      <c r="E2131" s="33" t="s">
        <v>66</v>
      </c>
      <c r="F2131" s="31">
        <v>10069</v>
      </c>
      <c r="G2131" s="32">
        <v>25427</v>
      </c>
      <c r="H2131" s="32"/>
      <c r="I2131" s="32">
        <f t="shared" si="34"/>
        <v>25427</v>
      </c>
      <c r="J2131" s="33" t="s">
        <v>1082</v>
      </c>
      <c r="K2131" s="33" t="s">
        <v>5058</v>
      </c>
      <c r="L2131" s="33" t="s">
        <v>5059</v>
      </c>
      <c r="M2131" s="33" t="s">
        <v>5060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>
      <c r="A2132" s="30">
        <v>46210</v>
      </c>
      <c r="B2132" s="30">
        <v>46212</v>
      </c>
      <c r="C2132" s="31">
        <v>11521037</v>
      </c>
      <c r="D2132" s="30" t="str">
        <f>IFERROR(VLOOKUP(Tabela5[[#This Row],[PREFIXO ]],Tabela4[#All],2,0),"CENTRO DE CUSTO")</f>
        <v>TRAT PN EXT PES N.HOLLAND T9.600</v>
      </c>
      <c r="E2132" s="33" t="s">
        <v>6</v>
      </c>
      <c r="F2132" s="31">
        <v>10062</v>
      </c>
      <c r="G2132" s="32">
        <v>450</v>
      </c>
      <c r="H2132" s="32">
        <v>3350</v>
      </c>
      <c r="I2132" s="32">
        <f t="shared" si="34"/>
        <v>3800</v>
      </c>
      <c r="J2132" s="33" t="s">
        <v>1082</v>
      </c>
      <c r="K2132" s="33" t="s">
        <v>5061</v>
      </c>
      <c r="L2132" s="33" t="s">
        <v>5062</v>
      </c>
      <c r="M2132" s="33" t="s">
        <v>5063</v>
      </c>
      <c r="N2132" s="30">
        <v>46213</v>
      </c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NF</v>
      </c>
      <c r="R2132" s="33"/>
    </row>
    <row r="2133" spans="1:18">
      <c r="A2133" s="30">
        <v>46210</v>
      </c>
      <c r="B2133" s="30"/>
      <c r="C2133" s="31">
        <v>51521109</v>
      </c>
      <c r="D2133" s="30" t="str">
        <f>IFERROR(VLOOKUP(Tabela5[[#This Row],[PREFIXO ]],Tabela4[#All],2,0),"CENTRO DE CUSTO")</f>
        <v>COLHEIT DE GRÃOS N.HOLLAND CR 8.90</v>
      </c>
      <c r="E2133" s="33" t="s">
        <v>218</v>
      </c>
      <c r="F2133" s="31">
        <v>26821</v>
      </c>
      <c r="G2133" s="32">
        <v>20375</v>
      </c>
      <c r="H2133" s="32">
        <v>64177.49</v>
      </c>
      <c r="I2133" s="32">
        <f t="shared" si="34"/>
        <v>84552.489999999991</v>
      </c>
      <c r="J2133" s="33" t="s">
        <v>1120</v>
      </c>
      <c r="K2133" s="33" t="s">
        <v>5064</v>
      </c>
      <c r="L2133" s="33"/>
      <c r="M2133" s="33"/>
      <c r="N2133" s="30"/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LANÇAMENTO</v>
      </c>
      <c r="R2133" s="33"/>
    </row>
    <row r="2134" spans="1:18">
      <c r="A2134" s="30">
        <v>46210</v>
      </c>
      <c r="B2134" s="30">
        <v>46212</v>
      </c>
      <c r="C2134" s="31">
        <v>500580100</v>
      </c>
      <c r="D2134" s="30" t="str">
        <f>IFERROR(VLOOKUP(Tabela5[[#This Row],[PREFIXO ]],Tabela4[#All],2,0),"CENTRO DE CUSTO")</f>
        <v>Autopropelidos</v>
      </c>
      <c r="E2134" s="33" t="s">
        <v>67</v>
      </c>
      <c r="F2134" s="31">
        <v>195</v>
      </c>
      <c r="G2134" s="32">
        <v>4400</v>
      </c>
      <c r="H2134" s="32"/>
      <c r="I2134" s="32">
        <f t="shared" si="34"/>
        <v>4400</v>
      </c>
      <c r="J2134" s="33" t="s">
        <v>1082</v>
      </c>
      <c r="K2134" s="33" t="s">
        <v>5065</v>
      </c>
      <c r="L2134" s="33" t="s">
        <v>5044</v>
      </c>
      <c r="M2134" s="33" t="s">
        <v>5045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>
      <c r="A2135" s="30">
        <v>46210</v>
      </c>
      <c r="B2135" s="30">
        <v>46213</v>
      </c>
      <c r="C2135" s="31">
        <v>61521049</v>
      </c>
      <c r="D2135" s="30" t="str">
        <f>IFERROR(VLOOKUP(Tabela5[[#This Row],[PREFIXO ]],Tabela4[#All],2,0),"CENTRO DE CUSTO")</f>
        <v>PA CARREGADEIRA JOHN DEERE 524 K II</v>
      </c>
      <c r="E2135" s="33" t="s">
        <v>340</v>
      </c>
      <c r="F2135" s="31">
        <v>650</v>
      </c>
      <c r="G2135" s="32">
        <v>3377</v>
      </c>
      <c r="H2135" s="32">
        <v>13848.25</v>
      </c>
      <c r="I2135" s="32">
        <f t="shared" si="34"/>
        <v>17225.25</v>
      </c>
      <c r="J2135" s="33" t="s">
        <v>1077</v>
      </c>
      <c r="K2135" s="33" t="s">
        <v>5066</v>
      </c>
      <c r="L2135" s="33" t="s">
        <v>5067</v>
      </c>
      <c r="M2135" s="33" t="s">
        <v>5068</v>
      </c>
      <c r="N2135" s="30">
        <v>46213</v>
      </c>
      <c r="O2135" s="33" t="s">
        <v>5069</v>
      </c>
      <c r="P2135" s="33" t="s">
        <v>5000</v>
      </c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CONCLUÍDO</v>
      </c>
      <c r="R2135" s="33"/>
    </row>
    <row r="2136" spans="1:18">
      <c r="A2136" s="30">
        <v>46210</v>
      </c>
      <c r="B2136" s="30">
        <v>46216</v>
      </c>
      <c r="C2136" s="31">
        <v>51521072</v>
      </c>
      <c r="D2136" s="30" t="str">
        <f>IFERROR(VLOOKUP(Tabela5[[#This Row],[PREFIXO ]],Tabela4[#All],2,0),"CENTRO DE CUSTO")</f>
        <v>COLHED ALGODÃO JOHN DEERE CP 690</v>
      </c>
      <c r="E2136" s="33" t="s">
        <v>96</v>
      </c>
      <c r="F2136" s="31" t="s">
        <v>5070</v>
      </c>
      <c r="G2136" s="32">
        <v>100</v>
      </c>
      <c r="H2136" s="32">
        <v>1550</v>
      </c>
      <c r="I2136" s="32">
        <f t="shared" si="34"/>
        <v>1650</v>
      </c>
      <c r="J2136" s="33" t="s">
        <v>1120</v>
      </c>
      <c r="K2136" s="33" t="s">
        <v>5071</v>
      </c>
      <c r="L2136" s="33" t="s">
        <v>5072</v>
      </c>
      <c r="M2136" s="33"/>
      <c r="N2136" s="30"/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O PEDIDO</v>
      </c>
      <c r="R2136" s="33"/>
    </row>
    <row r="2137" spans="1:18">
      <c r="A2137" s="30">
        <v>46210</v>
      </c>
      <c r="B2137" s="30"/>
      <c r="C2137" s="31">
        <v>51521045</v>
      </c>
      <c r="D2137" s="30" t="str">
        <f>IFERROR(VLOOKUP(Tabela5[[#This Row],[PREFIXO ]],Tabela4[#All],2,0),"CENTRO DE CUSTO")</f>
        <v>COLHED ALGODÃO JOHN DEERE CP 690</v>
      </c>
      <c r="E2137" s="33" t="s">
        <v>96</v>
      </c>
      <c r="F2137" s="31" t="s">
        <v>5073</v>
      </c>
      <c r="G2137" s="32">
        <v>200</v>
      </c>
      <c r="H2137" s="32">
        <v>1480.37</v>
      </c>
      <c r="I2137" s="32">
        <f t="shared" si="34"/>
        <v>1680.37</v>
      </c>
      <c r="J2137" s="33" t="s">
        <v>1120</v>
      </c>
      <c r="K2137" s="33" t="s">
        <v>5074</v>
      </c>
      <c r="L2137" s="33"/>
      <c r="M2137" s="33"/>
      <c r="N2137" s="30"/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LANÇAMENTO</v>
      </c>
      <c r="R2137" s="33"/>
    </row>
    <row r="2138" spans="1:18">
      <c r="A2138" s="30">
        <v>46210</v>
      </c>
      <c r="B2138" s="30">
        <v>46216</v>
      </c>
      <c r="C2138" s="31">
        <v>31521013</v>
      </c>
      <c r="D2138" s="30" t="str">
        <f>IFERROR(VLOOKUP(Tabela5[[#This Row],[PREFIXO ]],Tabela4[#All],2,0),"CENTRO DE CUSTO")</f>
        <v>PULV AUTOPROP JACTO UNIPORT 3030</v>
      </c>
      <c r="E2138" s="33" t="s">
        <v>49</v>
      </c>
      <c r="F2138" s="31" t="s">
        <v>3940</v>
      </c>
      <c r="G2138" s="32">
        <v>1917.2</v>
      </c>
      <c r="H2138" s="32"/>
      <c r="I2138" s="32">
        <f t="shared" si="34"/>
        <v>1917.2</v>
      </c>
      <c r="J2138" s="33" t="s">
        <v>3657</v>
      </c>
      <c r="K2138" s="33" t="s">
        <v>5075</v>
      </c>
      <c r="L2138" s="33" t="s">
        <v>5076</v>
      </c>
      <c r="M2138" s="33"/>
      <c r="N2138" s="30"/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O PEDIDO</v>
      </c>
      <c r="R2138" s="33"/>
    </row>
    <row r="2139" spans="1:18">
      <c r="A2139" s="30">
        <v>46210</v>
      </c>
      <c r="B2139" s="30">
        <v>46216</v>
      </c>
      <c r="C2139" s="31">
        <v>31521015</v>
      </c>
      <c r="D2139" s="30" t="str">
        <f>IFERROR(VLOOKUP(Tabela5[[#This Row],[PREFIXO ]],Tabela4[#All],2,0),"CENTRO DE CUSTO")</f>
        <v>PULV AUTOPROP JACTO UNIPORT 3030</v>
      </c>
      <c r="E2139" s="33" t="s">
        <v>49</v>
      </c>
      <c r="F2139" s="31" t="s">
        <v>4008</v>
      </c>
      <c r="G2139" s="32">
        <v>833.6</v>
      </c>
      <c r="H2139" s="32"/>
      <c r="I2139" s="32">
        <f t="shared" si="34"/>
        <v>833.6</v>
      </c>
      <c r="J2139" s="33" t="s">
        <v>3657</v>
      </c>
      <c r="K2139" s="33" t="s">
        <v>5077</v>
      </c>
      <c r="L2139" s="33" t="s">
        <v>5076</v>
      </c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O PEDIDO</v>
      </c>
      <c r="R2139" s="33"/>
    </row>
    <row r="2140" spans="1:18">
      <c r="A2140" s="30">
        <v>46210</v>
      </c>
      <c r="B2140" s="30">
        <v>46216</v>
      </c>
      <c r="C2140" s="31">
        <v>31521014</v>
      </c>
      <c r="D2140" s="30" t="str">
        <f>IFERROR(VLOOKUP(Tabela5[[#This Row],[PREFIXO ]],Tabela4[#All],2,0),"CENTRO DE CUSTO")</f>
        <v>PULV AUTOPROP JACTO UNIPORT 3030</v>
      </c>
      <c r="E2140" s="33" t="s">
        <v>49</v>
      </c>
      <c r="F2140" s="31" t="s">
        <v>4054</v>
      </c>
      <c r="G2140" s="32">
        <v>4700</v>
      </c>
      <c r="H2140" s="32"/>
      <c r="I2140" s="32">
        <f t="shared" si="34"/>
        <v>4700</v>
      </c>
      <c r="J2140" s="33" t="s">
        <v>3657</v>
      </c>
      <c r="K2140" s="33" t="s">
        <v>5078</v>
      </c>
      <c r="L2140" s="33" t="s">
        <v>5076</v>
      </c>
      <c r="M2140" s="33"/>
      <c r="N2140" s="30"/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O PEDIDO</v>
      </c>
      <c r="R2140" s="33"/>
    </row>
    <row r="2141" spans="1:18">
      <c r="A2141" s="30">
        <v>46211</v>
      </c>
      <c r="B2141" s="30">
        <v>46213</v>
      </c>
      <c r="C2141" s="31" t="s">
        <v>5079</v>
      </c>
      <c r="D2141" s="30" t="str">
        <f>IFERROR(VLOOKUP(Tabela5[[#This Row],[PREFIXO ]],Tabela4[#All],2,0),"CENTRO DE CUSTO")</f>
        <v>CENTRO DE CUSTO</v>
      </c>
      <c r="E2141" s="33" t="s">
        <v>204</v>
      </c>
      <c r="F2141" s="31" t="s">
        <v>5079</v>
      </c>
      <c r="G2141" s="32">
        <v>1800</v>
      </c>
      <c r="H2141" s="32"/>
      <c r="I2141" s="32">
        <f t="shared" si="34"/>
        <v>1800</v>
      </c>
      <c r="J2141" s="33" t="s">
        <v>1082</v>
      </c>
      <c r="K2141" s="33" t="s">
        <v>5080</v>
      </c>
      <c r="L2141" s="33" t="s">
        <v>5081</v>
      </c>
      <c r="M2141" s="33" t="s">
        <v>5082</v>
      </c>
      <c r="N2141" s="30">
        <v>46213</v>
      </c>
      <c r="O2141" s="33"/>
      <c r="P2141" s="33"/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FALTA NF</v>
      </c>
      <c r="R2141" s="33"/>
    </row>
    <row r="2142" spans="1:18">
      <c r="A2142" s="30">
        <v>46211</v>
      </c>
      <c r="B2142" s="30"/>
      <c r="C2142" s="31"/>
      <c r="D2142" s="30" t="str">
        <f>IFERROR(VLOOKUP(Tabela5[[#This Row],[PREFIXO ]],Tabela4[#All],2,0),"CENTRO DE CUSTO")</f>
        <v>CENTRO DE CUSTO</v>
      </c>
      <c r="E2142" s="33" t="s">
        <v>97</v>
      </c>
      <c r="F2142" s="31"/>
      <c r="G2142" s="32"/>
      <c r="H2142" s="32"/>
      <c r="I2142" s="32">
        <f t="shared" si="34"/>
        <v>0</v>
      </c>
      <c r="J2142" s="33"/>
      <c r="K2142" s="33"/>
      <c r="L2142" s="33"/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LANÇAMENTO</v>
      </c>
      <c r="R2142" s="33"/>
    </row>
    <row r="2143" spans="1:18">
      <c r="A2143" s="30">
        <v>46211</v>
      </c>
      <c r="B2143" s="30">
        <v>46216</v>
      </c>
      <c r="C2143" s="31">
        <v>31521014</v>
      </c>
      <c r="D2143" s="30" t="str">
        <f>IFERROR(VLOOKUP(Tabela5[[#This Row],[PREFIXO ]],Tabela4[#All],2,0),"CENTRO DE CUSTO")</f>
        <v>PULV AUTOPROP JACTO UNIPORT 3030</v>
      </c>
      <c r="E2143" s="33" t="s">
        <v>49</v>
      </c>
      <c r="F2143" s="31" t="s">
        <v>3993</v>
      </c>
      <c r="G2143" s="32">
        <v>1937</v>
      </c>
      <c r="H2143" s="32"/>
      <c r="I2143" s="32">
        <f t="shared" si="34"/>
        <v>1937</v>
      </c>
      <c r="J2143" s="33" t="s">
        <v>3657</v>
      </c>
      <c r="K2143" s="33" t="s">
        <v>5083</v>
      </c>
      <c r="L2143" s="33" t="s">
        <v>5076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>
      <c r="A2144" s="30">
        <v>46211</v>
      </c>
      <c r="B2144" s="30">
        <v>46216</v>
      </c>
      <c r="C2144" s="31">
        <v>31521019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3988</v>
      </c>
      <c r="G2144" s="32">
        <v>1417.2</v>
      </c>
      <c r="H2144" s="32"/>
      <c r="I2144" s="32">
        <f t="shared" si="34"/>
        <v>1417.2</v>
      </c>
      <c r="J2144" s="33" t="s">
        <v>3657</v>
      </c>
      <c r="K2144" s="33" t="s">
        <v>5084</v>
      </c>
      <c r="L2144" s="33" t="s">
        <v>5076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>
      <c r="A2145" s="30">
        <v>46211</v>
      </c>
      <c r="B2145" s="30"/>
      <c r="C2145" s="31">
        <v>61521011</v>
      </c>
      <c r="D2145" s="30" t="str">
        <f>IFERROR(VLOOKUP(Tabela5[[#This Row],[PREFIXO ]],Tabela4[#All],2,0),"CENTRO DE CUSTO")</f>
        <v>CAM COMBOIO MERC BENZ ATRON 2729</v>
      </c>
      <c r="E2145" s="33" t="s">
        <v>276</v>
      </c>
      <c r="F2145" s="31">
        <v>61521011</v>
      </c>
      <c r="G2145" s="32">
        <v>639</v>
      </c>
      <c r="H2145" s="32"/>
      <c r="I2145" s="32">
        <f t="shared" si="34"/>
        <v>639</v>
      </c>
      <c r="J2145" s="33" t="s">
        <v>1082</v>
      </c>
      <c r="K2145" s="33" t="s">
        <v>5085</v>
      </c>
      <c r="L2145" s="33"/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LANÇAMENTO</v>
      </c>
      <c r="R2145" s="33"/>
    </row>
    <row r="2146" spans="1:18">
      <c r="A2146" s="30">
        <v>46211</v>
      </c>
      <c r="B2146" s="30">
        <v>46216</v>
      </c>
      <c r="C2146" s="31">
        <v>61521107</v>
      </c>
      <c r="D2146" s="30" t="str">
        <f>IFERROR(VLOOKUP(Tabela5[[#This Row],[PREFIXO ]],Tabela4[#All],2,0),"CENTRO DE CUSTO")</f>
        <v>CAMINHAO COMBOIO MB AXOR 3131</v>
      </c>
      <c r="E2146" s="33" t="s">
        <v>24</v>
      </c>
      <c r="F2146" s="31" t="s">
        <v>5086</v>
      </c>
      <c r="G2146" s="32">
        <v>1207.8</v>
      </c>
      <c r="H2146" s="32">
        <v>5605.97</v>
      </c>
      <c r="I2146" s="32">
        <f t="shared" si="34"/>
        <v>6813.77</v>
      </c>
      <c r="J2146" s="33" t="s">
        <v>1082</v>
      </c>
      <c r="K2146" s="33" t="s">
        <v>5087</v>
      </c>
      <c r="L2146" s="33" t="s">
        <v>5088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>
      <c r="A2147" s="30">
        <v>46213</v>
      </c>
      <c r="B2147" s="30"/>
      <c r="C2147" s="31">
        <v>5173120</v>
      </c>
      <c r="D2147" s="30" t="str">
        <f>IFERROR(VLOOKUP(Tabela5[[#This Row],[PREFIXO ]],Tabela4[#All],2,0),"CENTRO DE CUSTO")</f>
        <v>COLHED ALGODÃO JOHN DEERE 7760</v>
      </c>
      <c r="E2147" s="33" t="s">
        <v>255</v>
      </c>
      <c r="F2147" s="31">
        <v>1017</v>
      </c>
      <c r="G2147" s="32">
        <v>1700</v>
      </c>
      <c r="H2147" s="32"/>
      <c r="I2147" s="32">
        <f t="shared" ref="I2147:I2169" si="35">G2147+H2147</f>
        <v>1700</v>
      </c>
      <c r="J2147" s="33" t="s">
        <v>1120</v>
      </c>
      <c r="K2147" s="33"/>
      <c r="L2147" s="33"/>
      <c r="M2147" s="33"/>
      <c r="N2147" s="30"/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LANÇAMENTO</v>
      </c>
      <c r="R2147" s="33"/>
    </row>
    <row r="2148" spans="1:18">
      <c r="A2148" s="30">
        <v>46213</v>
      </c>
      <c r="B2148" s="30"/>
      <c r="C2148" s="31" t="s">
        <v>5089</v>
      </c>
      <c r="D2148" s="30" t="str">
        <f>IFERROR(VLOOKUP(Tabela5[[#This Row],[PREFIXO ]],Tabela4[#All],2,0),"CENTRO DE CUSTO")</f>
        <v>CENTRO DE CUSTO</v>
      </c>
      <c r="E2148" s="33" t="s">
        <v>255</v>
      </c>
      <c r="F2148" s="31">
        <v>1016</v>
      </c>
      <c r="G2148" s="32">
        <v>1300</v>
      </c>
      <c r="H2148" s="32"/>
      <c r="I2148" s="32">
        <f t="shared" si="35"/>
        <v>1300</v>
      </c>
      <c r="J2148" s="33" t="s">
        <v>1120</v>
      </c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>
      <c r="A2149" s="30">
        <v>46213</v>
      </c>
      <c r="B2149" s="30"/>
      <c r="C2149" s="31" t="s">
        <v>5090</v>
      </c>
      <c r="D2149" s="30" t="str">
        <f>IFERROR(VLOOKUP(Tabela5[[#This Row],[PREFIXO ]],Tabela4[#All],2,0),"CENTRO DE CUSTO")</f>
        <v>CENTRO DE CUSTO</v>
      </c>
      <c r="E2149" s="33" t="s">
        <v>255</v>
      </c>
      <c r="F2149" s="31">
        <v>1015</v>
      </c>
      <c r="G2149" s="32">
        <v>1350</v>
      </c>
      <c r="H2149" s="32"/>
      <c r="I2149" s="32">
        <f t="shared" si="35"/>
        <v>1350</v>
      </c>
      <c r="J2149" s="33" t="s">
        <v>1120</v>
      </c>
      <c r="K2149" s="33"/>
      <c r="L2149" s="33"/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LANÇAMENTO</v>
      </c>
      <c r="R2149" s="33"/>
    </row>
    <row r="2150" spans="1:18">
      <c r="A2150" s="30">
        <v>46213</v>
      </c>
      <c r="B2150" s="30"/>
      <c r="C2150" s="31" t="s">
        <v>5091</v>
      </c>
      <c r="D2150" s="30" t="str">
        <f>IFERROR(VLOOKUP(Tabela5[[#This Row],[PREFIXO ]],Tabela4[#All],2,0),"CENTRO DE CUSTO")</f>
        <v>CENTRO DE CUSTO</v>
      </c>
      <c r="E2150" s="33" t="s">
        <v>255</v>
      </c>
      <c r="F2150" s="31">
        <v>1014</v>
      </c>
      <c r="G2150" s="32">
        <v>1300</v>
      </c>
      <c r="H2150" s="32"/>
      <c r="I2150" s="32">
        <f t="shared" si="35"/>
        <v>1300</v>
      </c>
      <c r="J2150" s="33" t="s">
        <v>1120</v>
      </c>
      <c r="K2150" s="33"/>
      <c r="L2150" s="33"/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LANÇAMENTO</v>
      </c>
      <c r="R2150" s="33"/>
    </row>
    <row r="2151" spans="1:18">
      <c r="A2151" s="30">
        <v>46213</v>
      </c>
      <c r="B2151" s="30"/>
      <c r="C2151" s="31">
        <v>51521088</v>
      </c>
      <c r="D2151" s="30" t="str">
        <f>IFERROR(VLOOKUP(Tabela5[[#This Row],[PREFIXO ]],Tabela4[#All],2,0),"CENTRO DE CUSTO")</f>
        <v>COLHEIT DE GRÃOS N.HOLLAND CR 8.90</v>
      </c>
      <c r="E2151" s="33" t="s">
        <v>255</v>
      </c>
      <c r="F2151" s="31">
        <v>1013</v>
      </c>
      <c r="G2151" s="32">
        <v>1650</v>
      </c>
      <c r="H2151" s="32"/>
      <c r="I2151" s="32">
        <f t="shared" si="35"/>
        <v>1650</v>
      </c>
      <c r="J2151" s="33" t="s">
        <v>1120</v>
      </c>
      <c r="K2151" s="33"/>
      <c r="L2151" s="33"/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LANÇAMENTO</v>
      </c>
      <c r="R2151" s="33"/>
    </row>
    <row r="2152" spans="1:18">
      <c r="A2152" s="30">
        <v>46213</v>
      </c>
      <c r="B2152" s="30"/>
      <c r="C2152" s="31">
        <v>5173117</v>
      </c>
      <c r="D2152" s="30" t="str">
        <f>IFERROR(VLOOKUP(Tabela5[[#This Row],[PREFIXO ]],Tabela4[#All],2,0),"CENTRO DE CUSTO")</f>
        <v>COLHED ALGODÃO JOHN DEERE 7760</v>
      </c>
      <c r="E2152" s="33" t="s">
        <v>255</v>
      </c>
      <c r="F2152" s="31">
        <v>1012</v>
      </c>
      <c r="G2152" s="32">
        <v>1600</v>
      </c>
      <c r="H2152" s="32"/>
      <c r="I2152" s="32">
        <f t="shared" si="35"/>
        <v>1600</v>
      </c>
      <c r="J2152" s="33" t="s">
        <v>1120</v>
      </c>
      <c r="K2152" s="33"/>
      <c r="L2152" s="33"/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LANÇAMENTO</v>
      </c>
      <c r="R2152" s="33"/>
    </row>
    <row r="2153" spans="1:18">
      <c r="A2153" s="30">
        <v>46213</v>
      </c>
      <c r="B2153" s="30"/>
      <c r="C2153" s="31">
        <v>51519055</v>
      </c>
      <c r="D2153" s="30" t="str">
        <f>IFERROR(VLOOKUP(Tabela5[[#This Row],[PREFIXO ]],Tabela4[#All],2,0),"CENTRO DE CUSTO")</f>
        <v>COLHED ALGODÃO JOHN DEERE CP 770</v>
      </c>
      <c r="E2153" s="33" t="s">
        <v>255</v>
      </c>
      <c r="F2153" s="31">
        <v>1011</v>
      </c>
      <c r="G2153" s="32">
        <v>1550</v>
      </c>
      <c r="H2153" s="32"/>
      <c r="I2153" s="32">
        <f t="shared" si="35"/>
        <v>1550</v>
      </c>
      <c r="J2153" s="33" t="s">
        <v>1120</v>
      </c>
      <c r="K2153" s="33"/>
      <c r="L2153" s="33"/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LANÇAMENTO</v>
      </c>
      <c r="R2153" s="33"/>
    </row>
    <row r="2154" spans="1:18">
      <c r="A2154" s="30">
        <v>46213</v>
      </c>
      <c r="B2154" s="30"/>
      <c r="C2154" s="31">
        <v>51521047</v>
      </c>
      <c r="D2154" s="30" t="str">
        <f>IFERROR(VLOOKUP(Tabela5[[#This Row],[PREFIXO ]],Tabela4[#All],2,0),"CENTRO DE CUSTO")</f>
        <v>COLHED ALGODÃO JOHN DEERE CP 690</v>
      </c>
      <c r="E2154" s="33" t="s">
        <v>71</v>
      </c>
      <c r="F2154" s="31">
        <v>7811</v>
      </c>
      <c r="G2154" s="32">
        <v>13415</v>
      </c>
      <c r="H2154" s="32">
        <v>10306.98</v>
      </c>
      <c r="I2154" s="32">
        <f t="shared" si="35"/>
        <v>23721.98</v>
      </c>
      <c r="J2154" s="33" t="s">
        <v>1120</v>
      </c>
      <c r="K2154" s="33"/>
      <c r="L2154" s="33"/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LANÇAMENTO</v>
      </c>
      <c r="R2154" s="33"/>
    </row>
    <row r="2155" spans="1:18">
      <c r="A2155" s="30">
        <v>46213</v>
      </c>
      <c r="B2155" s="30">
        <v>46216</v>
      </c>
      <c r="C2155" s="31">
        <v>5173118</v>
      </c>
      <c r="D2155" s="30" t="str">
        <f>IFERROR(VLOOKUP(Tabela5[[#This Row],[PREFIXO ]],Tabela4[#All],2,0),"CENTRO DE CUSTO")</f>
        <v>COLHED ALGODÃO JOHN DEERE 7760</v>
      </c>
      <c r="E2155" s="33" t="s">
        <v>9</v>
      </c>
      <c r="F2155" s="31">
        <v>2717</v>
      </c>
      <c r="G2155" s="32">
        <v>2473</v>
      </c>
      <c r="H2155" s="32"/>
      <c r="I2155" s="32">
        <f t="shared" si="35"/>
        <v>2473</v>
      </c>
      <c r="J2155" s="33" t="s">
        <v>2895</v>
      </c>
      <c r="K2155" s="33" t="s">
        <v>5092</v>
      </c>
      <c r="L2155" s="33" t="s">
        <v>5093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>
      <c r="A2156" s="30">
        <v>46213</v>
      </c>
      <c r="B2156" s="30">
        <v>46216</v>
      </c>
      <c r="C2156" s="31">
        <v>5173118</v>
      </c>
      <c r="D2156" s="30" t="str">
        <f>IFERROR(VLOOKUP(Tabela5[[#This Row],[PREFIXO ]],Tabela4[#All],2,0),"CENTRO DE CUSTO")</f>
        <v>COLHED ALGODÃO JOHN DEERE 7760</v>
      </c>
      <c r="E2156" s="33" t="s">
        <v>9</v>
      </c>
      <c r="F2156" s="31">
        <v>2718</v>
      </c>
      <c r="G2156" s="32">
        <v>900</v>
      </c>
      <c r="H2156" s="32"/>
      <c r="I2156" s="32">
        <f t="shared" si="35"/>
        <v>900</v>
      </c>
      <c r="J2156" s="33" t="s">
        <v>2895</v>
      </c>
      <c r="K2156" s="33" t="s">
        <v>5092</v>
      </c>
      <c r="L2156" s="33" t="s">
        <v>5093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>
      <c r="A2157" s="30">
        <v>46213</v>
      </c>
      <c r="B2157" s="30">
        <v>46216</v>
      </c>
      <c r="C2157" s="31">
        <v>615221002</v>
      </c>
      <c r="D2157" s="30" t="str">
        <f>IFERROR(VLOOKUP(Tabela5[[#This Row],[PREFIXO ]],Tabela4[#All],2,0),"CENTRO DE CUSTO")</f>
        <v>CENTRO DE CUSTO</v>
      </c>
      <c r="E2157" s="33" t="s">
        <v>372</v>
      </c>
      <c r="F2157" s="31">
        <v>2</v>
      </c>
      <c r="G2157" s="32">
        <v>7560</v>
      </c>
      <c r="H2157" s="32">
        <v>1512</v>
      </c>
      <c r="I2157" s="32">
        <f t="shared" si="35"/>
        <v>9072</v>
      </c>
      <c r="J2157" s="33" t="s">
        <v>1082</v>
      </c>
      <c r="K2157" s="33" t="s">
        <v>5094</v>
      </c>
      <c r="L2157" s="33" t="s">
        <v>5095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>
      <c r="A2158" s="30">
        <v>46213</v>
      </c>
      <c r="B2158" s="30"/>
      <c r="C2158" s="31">
        <v>51521055</v>
      </c>
      <c r="D2158" s="30" t="str">
        <f>IFERROR(VLOOKUP(Tabela5[[#This Row],[PREFIXO ]],Tabela4[#All],2,0),"CENTRO DE CUSTO")</f>
        <v>COLHED ALGODÃO JOHN DEERE CP 690</v>
      </c>
      <c r="E2158" s="33" t="s">
        <v>17</v>
      </c>
      <c r="F2158" s="31">
        <v>44087</v>
      </c>
      <c r="G2158" s="32">
        <v>2228.59</v>
      </c>
      <c r="H2158" s="32">
        <v>12324.96</v>
      </c>
      <c r="I2158" s="32">
        <f t="shared" si="35"/>
        <v>14553.55</v>
      </c>
      <c r="J2158" s="33" t="s">
        <v>1120</v>
      </c>
      <c r="K2158" s="33"/>
      <c r="L2158" s="33"/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LANÇAMENTO</v>
      </c>
      <c r="R2158" s="33"/>
    </row>
    <row r="2159" spans="1:18">
      <c r="A2159" s="30">
        <v>46213</v>
      </c>
      <c r="B2159" s="30"/>
      <c r="C2159" s="31">
        <v>5173116</v>
      </c>
      <c r="D2159" s="30" t="str">
        <f>IFERROR(VLOOKUP(Tabela5[[#This Row],[PREFIXO ]],Tabela4[#All],2,0),"CENTRO DE CUSTO")</f>
        <v>COLHED ALGODÃO JOHN DEERE 7760</v>
      </c>
      <c r="E2159" s="33" t="s">
        <v>17</v>
      </c>
      <c r="F2159" s="31">
        <v>44845</v>
      </c>
      <c r="G2159" s="32">
        <v>4251.91</v>
      </c>
      <c r="H2159" s="32">
        <v>49582.63</v>
      </c>
      <c r="I2159" s="32">
        <f t="shared" si="35"/>
        <v>53834.539999999994</v>
      </c>
      <c r="J2159" s="33" t="s">
        <v>1120</v>
      </c>
      <c r="K2159" s="33"/>
      <c r="L2159" s="33"/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LANÇAMENTO</v>
      </c>
      <c r="R2159" s="33"/>
    </row>
    <row r="2160" spans="1:18">
      <c r="A2160" s="30">
        <v>46213</v>
      </c>
      <c r="B2160" s="30"/>
      <c r="C2160" s="31">
        <v>51521072</v>
      </c>
      <c r="D2160" s="30" t="str">
        <f>IFERROR(VLOOKUP(Tabela5[[#This Row],[PREFIXO ]],Tabela4[#All],2,0),"CENTRO DE CUSTO")</f>
        <v>COLHED ALGODÃO JOHN DEERE CP 690</v>
      </c>
      <c r="E2160" s="33" t="s">
        <v>17</v>
      </c>
      <c r="F2160" s="31">
        <v>44855</v>
      </c>
      <c r="G2160" s="32">
        <v>4441.3500000000004</v>
      </c>
      <c r="H2160" s="32">
        <v>49582.63</v>
      </c>
      <c r="I2160" s="32">
        <f t="shared" si="35"/>
        <v>54023.979999999996</v>
      </c>
      <c r="J2160" s="33" t="s">
        <v>1120</v>
      </c>
      <c r="K2160" s="33"/>
      <c r="L2160" s="33"/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LANÇAMENTO</v>
      </c>
      <c r="R2160" s="33"/>
    </row>
    <row r="2161" spans="1:18">
      <c r="A2161" s="30">
        <v>46213</v>
      </c>
      <c r="B2161" s="30"/>
      <c r="C2161" s="31">
        <v>51521051</v>
      </c>
      <c r="D2161" s="30" t="str">
        <f>IFERROR(VLOOKUP(Tabela5[[#This Row],[PREFIXO ]],Tabela4[#All],2,0),"CENTRO DE CUSTO")</f>
        <v>COLHED ALGODÃO JOHN DEERE CP 690</v>
      </c>
      <c r="E2161" s="33" t="s">
        <v>17</v>
      </c>
      <c r="F2161" s="31">
        <v>44851</v>
      </c>
      <c r="G2161" s="32">
        <v>3480</v>
      </c>
      <c r="H2161" s="32">
        <v>49820.28</v>
      </c>
      <c r="I2161" s="32">
        <f t="shared" si="35"/>
        <v>53300.28</v>
      </c>
      <c r="J2161" s="33" t="s">
        <v>1120</v>
      </c>
      <c r="K2161" s="33"/>
      <c r="L2161" s="33"/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LANÇAMENTO</v>
      </c>
      <c r="R2161" s="33"/>
    </row>
    <row r="2162" spans="1:18">
      <c r="A2162" s="30">
        <v>46213</v>
      </c>
      <c r="B2162" s="30"/>
      <c r="C2162" s="31">
        <v>51521058</v>
      </c>
      <c r="D2162" s="30" t="str">
        <f>IFERROR(VLOOKUP(Tabela5[[#This Row],[PREFIXO ]],Tabela4[#All],2,0),"CENTRO DE CUSTO")</f>
        <v>COLHED ALGODÃO JOHN DEERE CP 690</v>
      </c>
      <c r="E2162" s="33" t="s">
        <v>17</v>
      </c>
      <c r="F2162" s="31">
        <v>44827</v>
      </c>
      <c r="G2162" s="32">
        <v>8876.39</v>
      </c>
      <c r="H2162" s="32">
        <v>6610.69</v>
      </c>
      <c r="I2162" s="32">
        <f t="shared" si="35"/>
        <v>15487.079999999998</v>
      </c>
      <c r="J2162" s="33" t="s">
        <v>1120</v>
      </c>
      <c r="K2162" s="33"/>
      <c r="L2162" s="33"/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LANÇAMENTO</v>
      </c>
      <c r="R2162" s="33"/>
    </row>
    <row r="2163" spans="1:18">
      <c r="A2163" s="30">
        <v>46213</v>
      </c>
      <c r="B2163" s="30"/>
      <c r="C2163" s="31">
        <v>5173120</v>
      </c>
      <c r="D2163" s="30" t="str">
        <f>IFERROR(VLOOKUP(Tabela5[[#This Row],[PREFIXO ]],Tabela4[#All],2,0),"CENTRO DE CUSTO")</f>
        <v>COLHED ALGODÃO JOHN DEERE 7760</v>
      </c>
      <c r="E2163" s="33" t="s">
        <v>17</v>
      </c>
      <c r="F2163" s="31">
        <v>44828</v>
      </c>
      <c r="G2163" s="32">
        <v>7118.99</v>
      </c>
      <c r="H2163" s="32">
        <v>889.13</v>
      </c>
      <c r="I2163" s="32">
        <f t="shared" si="35"/>
        <v>8008.12</v>
      </c>
      <c r="J2163" s="33" t="s">
        <v>1120</v>
      </c>
      <c r="K2163" s="33"/>
      <c r="L2163" s="33"/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LANÇAMENTO</v>
      </c>
      <c r="R2163" s="33"/>
    </row>
    <row r="2164" spans="1:18">
      <c r="A2164" s="30">
        <v>46213</v>
      </c>
      <c r="B2164" s="30"/>
      <c r="C2164" s="31">
        <v>51521064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44823</v>
      </c>
      <c r="G2164" s="32">
        <v>7612.5</v>
      </c>
      <c r="H2164" s="32">
        <v>10261.34</v>
      </c>
      <c r="I2164" s="32">
        <f t="shared" si="35"/>
        <v>17873.84</v>
      </c>
      <c r="J2164" s="33" t="s">
        <v>1120</v>
      </c>
      <c r="K2164" s="33"/>
      <c r="L2164" s="33"/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LANÇAMENTO</v>
      </c>
      <c r="R2164" s="33"/>
    </row>
    <row r="2165" spans="1:18">
      <c r="A2165" s="30">
        <v>46213</v>
      </c>
      <c r="B2165" s="30"/>
      <c r="C2165" s="31">
        <v>51519061</v>
      </c>
      <c r="D2165" s="30" t="str">
        <f>IFERROR(VLOOKUP(Tabela5[[#This Row],[PREFIXO ]],Tabela4[#All],2,0),"CENTRO DE CUSTO")</f>
        <v>CENTRO DE CUSTO</v>
      </c>
      <c r="E2165" s="33" t="s">
        <v>17</v>
      </c>
      <c r="F2165" s="31">
        <v>44935</v>
      </c>
      <c r="G2165" s="32">
        <v>1348.28</v>
      </c>
      <c r="H2165" s="32">
        <v>8276.84</v>
      </c>
      <c r="I2165" s="32">
        <f t="shared" si="35"/>
        <v>9625.1200000000008</v>
      </c>
      <c r="J2165" s="33" t="s">
        <v>1120</v>
      </c>
      <c r="K2165" s="33"/>
      <c r="L2165" s="33"/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LANÇAMENTO</v>
      </c>
      <c r="R2165" s="33"/>
    </row>
    <row r="2166" spans="1:18">
      <c r="A2166" s="30">
        <v>46213</v>
      </c>
      <c r="B2166" s="30"/>
      <c r="C2166" s="31">
        <v>5173116</v>
      </c>
      <c r="D2166" s="30" t="str">
        <f>IFERROR(VLOOKUP(Tabela5[[#This Row],[PREFIXO ]],Tabela4[#All],2,0),"CENTRO DE CUSTO")</f>
        <v>COLHED ALGODÃO JOHN DEERE 7760</v>
      </c>
      <c r="E2166" s="33" t="s">
        <v>17</v>
      </c>
      <c r="F2166" s="31">
        <v>44826</v>
      </c>
      <c r="G2166" s="32">
        <v>8107.31</v>
      </c>
      <c r="H2166" s="32">
        <v>1364.15</v>
      </c>
      <c r="I2166" s="32">
        <f t="shared" si="35"/>
        <v>9471.4600000000009</v>
      </c>
      <c r="J2166" s="33" t="s">
        <v>1120</v>
      </c>
      <c r="K2166" s="33"/>
      <c r="L2166" s="33"/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LANÇAMENTO</v>
      </c>
      <c r="R2166" s="33"/>
    </row>
    <row r="2167" spans="1:18">
      <c r="A2167" s="30">
        <v>46213</v>
      </c>
      <c r="B2167" s="30">
        <v>46216</v>
      </c>
      <c r="C2167" s="31">
        <v>25530056</v>
      </c>
      <c r="D2167" s="30" t="str">
        <f>IFERROR(VLOOKUP(Tabela5[[#This Row],[PREFIXO ]],Tabela4[#All],2,0),"CENTRO DE CUSTO")</f>
        <v>PLATAF COLHEITA JOHN DEERE HYDRAFLEX 740</v>
      </c>
      <c r="E2167" s="33" t="s">
        <v>17</v>
      </c>
      <c r="F2167" s="31">
        <v>44718</v>
      </c>
      <c r="G2167" s="32">
        <v>2305.5</v>
      </c>
      <c r="H2167" s="32">
        <v>4379.8999999999996</v>
      </c>
      <c r="I2167" s="32">
        <f t="shared" si="35"/>
        <v>6685.4</v>
      </c>
      <c r="J2167" s="33" t="s">
        <v>1120</v>
      </c>
      <c r="K2167" s="33" t="s">
        <v>5096</v>
      </c>
      <c r="L2167" s="33" t="s">
        <v>5097</v>
      </c>
      <c r="M2167" s="33" t="s">
        <v>5098</v>
      </c>
      <c r="N2167" s="30">
        <v>46217</v>
      </c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NF</v>
      </c>
      <c r="R2167" s="33"/>
    </row>
    <row r="2168" spans="1:18">
      <c r="A2168" s="30">
        <v>46213</v>
      </c>
      <c r="B2168" s="30">
        <v>46216</v>
      </c>
      <c r="C2168" s="31">
        <v>51521053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44153</v>
      </c>
      <c r="G2168" s="32">
        <v>2255.48</v>
      </c>
      <c r="H2168" s="32">
        <v>12349.67</v>
      </c>
      <c r="I2168" s="32">
        <f t="shared" si="35"/>
        <v>14605.15</v>
      </c>
      <c r="J2168" s="33" t="s">
        <v>1120</v>
      </c>
      <c r="K2168" s="33" t="s">
        <v>5099</v>
      </c>
      <c r="L2168" s="33" t="s">
        <v>5100</v>
      </c>
      <c r="M2168" s="33" t="s">
        <v>5101</v>
      </c>
      <c r="N2168" s="30">
        <v>46217</v>
      </c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NF</v>
      </c>
      <c r="R2168" s="33"/>
    </row>
    <row r="2169" spans="1:18">
      <c r="A2169" s="30">
        <v>46213</v>
      </c>
      <c r="B2169" s="30"/>
      <c r="C2169" s="31">
        <v>51521066</v>
      </c>
      <c r="D2169" s="30" t="str">
        <f>IFERROR(VLOOKUP(Tabela5[[#This Row],[PREFIXO ]],Tabela4[#All],2,0),"CENTRO DE CUSTO")</f>
        <v>COLHED ALGODÃO JOHN DEERE CP 690</v>
      </c>
      <c r="E2169" s="33" t="s">
        <v>17</v>
      </c>
      <c r="F2169" s="31">
        <v>45024</v>
      </c>
      <c r="G2169" s="32">
        <v>2896.32</v>
      </c>
      <c r="H2169" s="32">
        <v>2314.2199999999998</v>
      </c>
      <c r="I2169" s="32">
        <f t="shared" si="35"/>
        <v>5210.54</v>
      </c>
      <c r="J2169" s="33" t="s">
        <v>1120</v>
      </c>
      <c r="K2169" s="33"/>
      <c r="L2169" s="33"/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LANÇAMENTO</v>
      </c>
      <c r="R2169" s="33"/>
    </row>
    <row r="2170" spans="1:18">
      <c r="A2170" s="30">
        <v>46205</v>
      </c>
      <c r="B2170" s="30">
        <v>46216</v>
      </c>
      <c r="C2170" s="31">
        <v>61521049</v>
      </c>
      <c r="D2170" s="30" t="str">
        <f>IFERROR(VLOOKUP(Tabela5[[#This Row],[PREFIXO ]],Tabela4[#All],2,0),"CENTRO DE CUSTO")</f>
        <v>PA CARREGADEIRA JOHN DEERE 524 K II</v>
      </c>
      <c r="E2170" s="33" t="s">
        <v>96</v>
      </c>
      <c r="F2170" s="31" t="s">
        <v>5102</v>
      </c>
      <c r="G2170" s="32">
        <v>300</v>
      </c>
      <c r="H2170" s="32">
        <v>1293.1199999999999</v>
      </c>
      <c r="I2170" s="32">
        <f>G2170+H2170</f>
        <v>1593.12</v>
      </c>
      <c r="J2170" s="33" t="s">
        <v>1077</v>
      </c>
      <c r="K2170" s="33" t="s">
        <v>5103</v>
      </c>
      <c r="L2170" s="33" t="s">
        <v>5104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>
      <c r="A2171" s="30">
        <v>46202</v>
      </c>
      <c r="B2171" s="30">
        <v>46213</v>
      </c>
      <c r="C2171" s="31">
        <v>12010016</v>
      </c>
      <c r="D2171" s="30" t="str">
        <f>IFERROR(VLOOKUP(Tabela5[[#This Row],[PREFIXO ]],Tabela4[#All],2,0),"CENTRO DE CUSTO")</f>
        <v>CENTRO DE CUSTO</v>
      </c>
      <c r="E2171" s="33" t="s">
        <v>227</v>
      </c>
      <c r="F2171" s="31">
        <v>220377</v>
      </c>
      <c r="G2171" s="32"/>
      <c r="H2171" s="32">
        <v>48</v>
      </c>
      <c r="I2171" s="32">
        <f>G2171+H2171</f>
        <v>48</v>
      </c>
      <c r="J2171" s="33" t="s">
        <v>1082</v>
      </c>
      <c r="K2171" s="33" t="s">
        <v>5105</v>
      </c>
      <c r="L2171" s="33" t="s">
        <v>4876</v>
      </c>
      <c r="M2171" s="33" t="s">
        <v>4877</v>
      </c>
      <c r="N2171" s="30">
        <v>46213</v>
      </c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NF</v>
      </c>
      <c r="R2171" s="33"/>
    </row>
    <row r="2172" spans="1:18">
      <c r="A2172" s="30">
        <v>46205</v>
      </c>
      <c r="B2172" s="30">
        <v>46216</v>
      </c>
      <c r="C2172" s="31">
        <v>15110008</v>
      </c>
      <c r="D2172" s="30" t="str">
        <f>IFERROR(VLOOKUP(Tabela5[[#This Row],[PREFIXO ]],Tabela4[#All],2,0),"CENTRO DE CUSTO")</f>
        <v>DISTRIB CORRET STARA BRUTTUS 25000</v>
      </c>
      <c r="E2172" s="33" t="s">
        <v>81</v>
      </c>
      <c r="F2172" s="31">
        <v>21179</v>
      </c>
      <c r="G2172" s="32">
        <v>650</v>
      </c>
      <c r="H2172" s="32">
        <v>347.13</v>
      </c>
      <c r="I2172" s="32">
        <f>G2172+H2172</f>
        <v>997.13</v>
      </c>
      <c r="J2172" s="33" t="s">
        <v>2895</v>
      </c>
      <c r="K2172" s="33" t="s">
        <v>5106</v>
      </c>
      <c r="L2172" s="33" t="s">
        <v>5107</v>
      </c>
      <c r="M2172" s="33" t="s">
        <v>5108</v>
      </c>
      <c r="N2172" s="39">
        <v>46216</v>
      </c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NF</v>
      </c>
      <c r="R2172" s="33"/>
    </row>
    <row r="2173" spans="1:18">
      <c r="A2173" s="30">
        <v>46213</v>
      </c>
      <c r="B2173" s="30">
        <v>46213</v>
      </c>
      <c r="C2173" s="31" t="s">
        <v>5109</v>
      </c>
      <c r="D2173" s="30" t="str">
        <f>IFERROR(VLOOKUP(Tabela5[[#This Row],[PREFIXO ]],Tabela4[#All],2,0),"CENTRO DE CUSTO")</f>
        <v>CENTRO DE CUSTO</v>
      </c>
      <c r="E2173" s="33" t="s">
        <v>362</v>
      </c>
      <c r="F2173" s="31">
        <v>1</v>
      </c>
      <c r="G2173" s="32">
        <v>2620</v>
      </c>
      <c r="H2173" s="32"/>
      <c r="I2173" s="32">
        <f>G2173+H2173</f>
        <v>2620</v>
      </c>
      <c r="J2173" s="33" t="s">
        <v>1196</v>
      </c>
      <c r="K2173" s="33" t="s">
        <v>5110</v>
      </c>
      <c r="L2173" s="33" t="s">
        <v>5111</v>
      </c>
      <c r="M2173" s="33" t="s">
        <v>5112</v>
      </c>
      <c r="N2173" s="30">
        <v>46216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>
      <c r="A2174" s="30">
        <v>46206</v>
      </c>
      <c r="B2174" s="30">
        <v>46216</v>
      </c>
      <c r="C2174" s="31">
        <v>500580090</v>
      </c>
      <c r="D2174" s="30" t="str">
        <f>IFERROR(VLOOKUP(Tabela5[[#This Row],[PREFIXO ]],Tabela4[#All],2,0),"CENTRO DE CUSTO")</f>
        <v>Plantadeiras</v>
      </c>
      <c r="E2174" s="33" t="s">
        <v>62</v>
      </c>
      <c r="F2174" s="31">
        <v>1468</v>
      </c>
      <c r="G2174" s="32">
        <v>20329.88</v>
      </c>
      <c r="H2174" s="32"/>
      <c r="I2174" s="32">
        <f>G2174+H2174</f>
        <v>20329.88</v>
      </c>
      <c r="J2174" s="33" t="s">
        <v>1196</v>
      </c>
      <c r="K2174" s="33" t="s">
        <v>5113</v>
      </c>
      <c r="L2174" s="33" t="s">
        <v>5114</v>
      </c>
      <c r="M2174" s="33"/>
      <c r="N2174" s="30"/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O PEDIDO</v>
      </c>
      <c r="R2174" s="33"/>
    </row>
    <row r="2175" spans="1:18">
      <c r="A2175" s="30">
        <v>46213</v>
      </c>
      <c r="B2175" s="30"/>
      <c r="C2175" s="49">
        <v>25530049</v>
      </c>
      <c r="D2175" s="30" t="str">
        <f>IFERROR(VLOOKUP(Tabela5[[#This Row],[PREFIXO ]],Tabela4[#All],2,0),"CENTRO DE CUSTO")</f>
        <v>PLATAF COLHEITA JOHN DEERE HYDRAFLEX 740</v>
      </c>
      <c r="E2175" s="33" t="s">
        <v>17</v>
      </c>
      <c r="F2175" s="49">
        <v>44968</v>
      </c>
      <c r="G2175" s="32">
        <v>1740</v>
      </c>
      <c r="H2175" s="32">
        <v>1340.31</v>
      </c>
      <c r="I2175" s="32">
        <f>G2175+H2175</f>
        <v>3080.31</v>
      </c>
      <c r="J2175" s="33" t="s">
        <v>1120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>
      <c r="A2176" s="30">
        <v>46213</v>
      </c>
      <c r="B2176" s="30"/>
      <c r="C2176" s="49">
        <v>51521048</v>
      </c>
      <c r="D2176" s="30" t="str">
        <f>IFERROR(VLOOKUP(Tabela5[[#This Row],[PREFIXO ]],Tabela4[#All],2,0),"CENTRO DE CUSTO")</f>
        <v>COLHED ALGODÃO JOHN DEERE CP 690</v>
      </c>
      <c r="E2176" s="33" t="s">
        <v>17</v>
      </c>
      <c r="F2176" s="49">
        <v>45025</v>
      </c>
      <c r="G2176" s="32">
        <v>3266.72</v>
      </c>
      <c r="H2176" s="32">
        <v>3944</v>
      </c>
      <c r="I2176" s="32">
        <f>G2176+H2176</f>
        <v>7210.7199999999993</v>
      </c>
      <c r="J2176" s="33" t="s">
        <v>1120</v>
      </c>
      <c r="K2176" s="33"/>
      <c r="L2176" s="33"/>
      <c r="M2176" s="33"/>
      <c r="N2176" s="30"/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LANÇAMENTO</v>
      </c>
      <c r="R2176" s="33"/>
    </row>
    <row r="2177" spans="1:18">
      <c r="A2177" s="30">
        <v>46213</v>
      </c>
      <c r="B2177" s="30"/>
      <c r="C2177" s="49">
        <v>25530059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49">
        <v>44805</v>
      </c>
      <c r="G2177" s="32">
        <v>3014.55</v>
      </c>
      <c r="H2177" s="32">
        <v>1165.49</v>
      </c>
      <c r="I2177" s="32">
        <f>G2177+H2177</f>
        <v>4180.04</v>
      </c>
      <c r="J2177" s="33" t="s">
        <v>1120</v>
      </c>
      <c r="K2177" s="33"/>
      <c r="L2177" s="33"/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LANÇAMENTO</v>
      </c>
      <c r="R2177" s="33"/>
    </row>
    <row r="2178" spans="1:18">
      <c r="A2178" s="30">
        <v>46213</v>
      </c>
      <c r="B2178" s="30"/>
      <c r="C2178" s="49">
        <v>61521080</v>
      </c>
      <c r="D2178" s="30" t="str">
        <f>IFERROR(VLOOKUP(Tabela5[[#This Row],[PREFIXO ]],Tabela4[#All],2,0),"CENTRO DE CUSTO")</f>
        <v>CAV MEC EXT PES VOLVO FH 540</v>
      </c>
      <c r="E2178" s="33" t="s">
        <v>156</v>
      </c>
      <c r="F2178" s="49">
        <v>2522</v>
      </c>
      <c r="G2178" s="32">
        <v>130</v>
      </c>
      <c r="H2178" s="32">
        <v>805</v>
      </c>
      <c r="I2178" s="32">
        <f>G2178+H2178</f>
        <v>935</v>
      </c>
      <c r="J2178" s="33" t="s">
        <v>1082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>
      <c r="A2179" s="30">
        <v>46213</v>
      </c>
      <c r="B2179" s="30"/>
      <c r="C2179" s="49">
        <v>61521040</v>
      </c>
      <c r="D2179" s="30" t="str">
        <f>IFERROR(VLOOKUP(Tabela5[[#This Row],[PREFIXO ]],Tabela4[#All],2,0),"CENTRO DE CUSTO")</f>
        <v>CAM COMBOIO FORD F-4000</v>
      </c>
      <c r="E2179" s="33" t="s">
        <v>276</v>
      </c>
      <c r="F2179" s="49">
        <v>61521040</v>
      </c>
      <c r="G2179" s="32">
        <v>300</v>
      </c>
      <c r="H2179" s="32"/>
      <c r="I2179" s="32">
        <f>G2179+H2179</f>
        <v>300</v>
      </c>
      <c r="J2179" s="33" t="s">
        <v>1082</v>
      </c>
      <c r="K2179" s="33"/>
      <c r="L2179" s="33"/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LANÇAMENTO</v>
      </c>
      <c r="R2179" s="33"/>
    </row>
    <row r="2180" spans="1:18">
      <c r="A2180" s="30">
        <v>46213</v>
      </c>
      <c r="B2180" s="30"/>
      <c r="C2180" s="49">
        <v>500140346</v>
      </c>
      <c r="D2180" s="30" t="str">
        <f>IFERROR(VLOOKUP(Tabela5[[#This Row],[PREFIXO ]],Tabela4[#All],2,0),"CENTRO DE CUSTO")</f>
        <v>CENTRO DE CUSTO</v>
      </c>
      <c r="E2180" s="33" t="s">
        <v>249</v>
      </c>
      <c r="F2180" s="49">
        <v>258</v>
      </c>
      <c r="G2180" s="32">
        <v>14525</v>
      </c>
      <c r="H2180" s="32"/>
      <c r="I2180" s="32">
        <f>G2180+H2180</f>
        <v>14525</v>
      </c>
      <c r="J2180" s="33" t="s">
        <v>1082</v>
      </c>
      <c r="K2180" s="33"/>
      <c r="L2180" s="33"/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LANÇAMENTO</v>
      </c>
      <c r="R2180" s="33"/>
    </row>
    <row r="2181" spans="1:18">
      <c r="A2181" s="30">
        <v>46213</v>
      </c>
      <c r="B2181" s="30"/>
      <c r="C2181" s="49">
        <v>500580220</v>
      </c>
      <c r="D2181" s="30" t="str">
        <f>IFERROR(VLOOKUP(Tabela5[[#This Row],[PREFIXO ]],Tabela4[#All],2,0),"CENTRO DE CUSTO")</f>
        <v>Implementos</v>
      </c>
      <c r="E2181" s="33" t="s">
        <v>249</v>
      </c>
      <c r="F2181" s="49">
        <v>257</v>
      </c>
      <c r="G2181" s="32">
        <v>11725</v>
      </c>
      <c r="H2181" s="32"/>
      <c r="I2181" s="32">
        <f>G2181+H2181</f>
        <v>11725</v>
      </c>
      <c r="J2181" s="33" t="s">
        <v>1082</v>
      </c>
      <c r="K2181" s="33"/>
      <c r="L2181" s="33"/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LANÇAMENTO</v>
      </c>
      <c r="R2181" s="33"/>
    </row>
    <row r="2182" spans="1:18">
      <c r="A2182" s="30">
        <v>46213</v>
      </c>
      <c r="B2182" s="30"/>
      <c r="C2182" s="49">
        <v>61521096</v>
      </c>
      <c r="D2182" s="30" t="str">
        <f>IFERROR(VLOOKUP(Tabela5[[#This Row],[PREFIXO ]],Tabela4[#All],2,0),"CENTRO DE CUSTO")</f>
        <v>EMPILHA COMBUST TOYOTA 8FGU30</v>
      </c>
      <c r="E2182" s="33" t="s">
        <v>249</v>
      </c>
      <c r="F2182" s="49">
        <v>256</v>
      </c>
      <c r="G2182" s="32">
        <v>8750</v>
      </c>
      <c r="H2182" s="32"/>
      <c r="I2182" s="32">
        <f>G2182+H2182</f>
        <v>8750</v>
      </c>
      <c r="J2182" s="33" t="s">
        <v>1082</v>
      </c>
      <c r="K2182" s="33"/>
      <c r="L2182" s="33"/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LANÇAMENTO</v>
      </c>
      <c r="R2182" s="33"/>
    </row>
    <row r="2183" spans="1:18">
      <c r="A2183" s="30">
        <v>46213</v>
      </c>
      <c r="B2183" s="30"/>
      <c r="C2183" s="49">
        <v>61521032</v>
      </c>
      <c r="D2183" s="30" t="str">
        <f>IFERROR(VLOOKUP(Tabela5[[#This Row],[PREFIXO ]],Tabela4[#All],2,0),"CENTRO DE CUSTO")</f>
        <v>CENTRO DE CUSTO</v>
      </c>
      <c r="E2183" s="33" t="s">
        <v>24</v>
      </c>
      <c r="F2183" s="49" t="s">
        <v>5115</v>
      </c>
      <c r="G2183" s="32">
        <v>7553.7</v>
      </c>
      <c r="H2183" s="32">
        <v>3930.38</v>
      </c>
      <c r="I2183" s="32">
        <f>G2183+H2183</f>
        <v>11484.08</v>
      </c>
      <c r="J2183" s="33" t="s">
        <v>1082</v>
      </c>
      <c r="K2183" s="33"/>
      <c r="L2183" s="33"/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LANÇAMENTO</v>
      </c>
      <c r="R2183" s="33"/>
    </row>
    <row r="2184" spans="1:18">
      <c r="A2184" s="30">
        <v>46213</v>
      </c>
      <c r="B2184" s="30"/>
      <c r="C2184" s="49">
        <v>61521038</v>
      </c>
      <c r="D2184" s="30" t="str">
        <f>IFERROR(VLOOKUP(Tabela5[[#This Row],[PREFIXO ]],Tabela4[#All],2,0),"CENTRO DE CUSTO")</f>
        <v>CAM ROLL ON/OFF MERC BENZ ATEGO 2730</v>
      </c>
      <c r="E2184" s="33" t="s">
        <v>29</v>
      </c>
      <c r="F2184" s="49">
        <v>56155</v>
      </c>
      <c r="G2184" s="32">
        <v>4637.96</v>
      </c>
      <c r="H2184" s="32">
        <v>1270</v>
      </c>
      <c r="I2184" s="32">
        <f>G2184+H2184</f>
        <v>5907.96</v>
      </c>
      <c r="J2184" s="33" t="s">
        <v>1082</v>
      </c>
      <c r="K2184" s="33"/>
      <c r="L2184" s="33"/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LANÇAMENTO</v>
      </c>
      <c r="R2184" s="33"/>
    </row>
    <row r="2185" spans="1:18">
      <c r="A2185" s="30">
        <v>46213</v>
      </c>
      <c r="B2185" s="30"/>
      <c r="C2185" s="49">
        <v>61521076</v>
      </c>
      <c r="D2185" s="30" t="str">
        <f>IFERROR(VLOOKUP(Tabela5[[#This Row],[PREFIXO ]],Tabela4[#All],2,0),"CENTRO DE CUSTO")</f>
        <v>CAM CARGA SECA MERC BENZ ACCELO 815</v>
      </c>
      <c r="E2185" s="33" t="s">
        <v>29</v>
      </c>
      <c r="F2185" s="49">
        <v>56087</v>
      </c>
      <c r="G2185" s="32">
        <v>380</v>
      </c>
      <c r="H2185" s="32">
        <v>297.04000000000002</v>
      </c>
      <c r="I2185" s="32">
        <f>G2185+H2185</f>
        <v>677.04</v>
      </c>
      <c r="J2185" s="33" t="s">
        <v>1082</v>
      </c>
      <c r="K2185" s="33"/>
      <c r="L2185" s="33"/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>
      <c r="A2186" s="30">
        <v>46213</v>
      </c>
      <c r="B2186" s="30"/>
      <c r="C2186" s="49">
        <v>61521068</v>
      </c>
      <c r="D2186" s="30" t="str">
        <f>IFERROR(VLOOKUP(Tabela5[[#This Row],[PREFIXO ]],Tabela4[#All],2,0),"CENTRO DE CUSTO")</f>
        <v>CAM PIPA BOMB VOLVO VM 330</v>
      </c>
      <c r="E2186" s="33" t="s">
        <v>29</v>
      </c>
      <c r="F2186" s="49">
        <v>56061</v>
      </c>
      <c r="G2186" s="32">
        <v>585</v>
      </c>
      <c r="H2186" s="32">
        <v>664.71</v>
      </c>
      <c r="I2186" s="32">
        <f>G2186+H2186</f>
        <v>1249.71</v>
      </c>
      <c r="J2186" s="33" t="s">
        <v>1082</v>
      </c>
      <c r="K2186" s="33"/>
      <c r="L2186" s="33"/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LANÇAMENTO</v>
      </c>
      <c r="R2186" s="33"/>
    </row>
    <row r="2187" spans="1:18">
      <c r="A2187" s="30">
        <v>46213</v>
      </c>
      <c r="B2187" s="30"/>
      <c r="C2187" s="49">
        <v>61521079</v>
      </c>
      <c r="D2187" s="30" t="str">
        <f>IFERROR(VLOOKUP(Tabela5[[#This Row],[PREFIXO ]],Tabela4[#All],2,0),"CENTRO DE CUSTO")</f>
        <v>CAM PIPA BOMB VOLVO VM 330</v>
      </c>
      <c r="E2187" s="33" t="s">
        <v>29</v>
      </c>
      <c r="F2187" s="49">
        <v>56060</v>
      </c>
      <c r="G2187" s="32">
        <v>13120</v>
      </c>
      <c r="H2187" s="32">
        <v>29425.360000000001</v>
      </c>
      <c r="I2187" s="32">
        <f>G2187+H2187</f>
        <v>42545.36</v>
      </c>
      <c r="J2187" s="33" t="s">
        <v>1082</v>
      </c>
      <c r="K2187" s="33"/>
      <c r="L2187" s="33"/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LANÇAMENTO</v>
      </c>
      <c r="R2187" s="33"/>
    </row>
    <row r="2188" spans="1:18">
      <c r="A2188" s="30">
        <v>46213</v>
      </c>
      <c r="B2188" s="30"/>
      <c r="C2188" s="49">
        <v>61521009</v>
      </c>
      <c r="D2188" s="30" t="str">
        <f>IFERROR(VLOOKUP(Tabela5[[#This Row],[PREFIXO ]],Tabela4[#All],2,0),"CENTRO DE CUSTO")</f>
        <v>CAV MEC PES MERC BENZ AXOR 2644</v>
      </c>
      <c r="E2188" s="33" t="s">
        <v>29</v>
      </c>
      <c r="F2188" s="49">
        <v>56044</v>
      </c>
      <c r="G2188" s="32">
        <v>11256</v>
      </c>
      <c r="H2188" s="32">
        <v>23749.58</v>
      </c>
      <c r="I2188" s="32">
        <f>G2188+H2188</f>
        <v>35005.58</v>
      </c>
      <c r="J2188" s="33" t="s">
        <v>1082</v>
      </c>
      <c r="K2188" s="33"/>
      <c r="L2188" s="33"/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LANÇAMENTO</v>
      </c>
      <c r="R2188" s="33"/>
    </row>
    <row r="2189" spans="1:18">
      <c r="A2189" s="30">
        <v>46213</v>
      </c>
      <c r="B2189" s="30"/>
      <c r="C2189" s="49">
        <v>61521107</v>
      </c>
      <c r="D2189" s="30" t="str">
        <f>IFERROR(VLOOKUP(Tabela5[[#This Row],[PREFIXO ]],Tabela4[#All],2,0),"CENTRO DE CUSTO")</f>
        <v>CAMINHAO COMBOIO MB AXOR 3131</v>
      </c>
      <c r="E2189" s="33" t="s">
        <v>29</v>
      </c>
      <c r="F2189" s="49">
        <v>56040</v>
      </c>
      <c r="G2189" s="32">
        <v>14160</v>
      </c>
      <c r="H2189" s="32">
        <v>45487.49</v>
      </c>
      <c r="I2189" s="32">
        <f>G2189+H2189</f>
        <v>59647.49</v>
      </c>
      <c r="J2189" s="33" t="s">
        <v>1082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>
      <c r="A2190" s="30">
        <v>46213</v>
      </c>
      <c r="B2190" s="30"/>
      <c r="C2190" s="49">
        <v>11040014</v>
      </c>
      <c r="D2190" s="30" t="str">
        <f>IFERROR(VLOOKUP(Tabela5[[#This Row],[PREFIXO ]],Tabela4[#All],2,0),"CENTRO DE CUSTO")</f>
        <v>CAV MEC EXT PES SCANIA R500</v>
      </c>
      <c r="E2190" s="33" t="s">
        <v>29</v>
      </c>
      <c r="F2190" s="49">
        <v>56039</v>
      </c>
      <c r="G2190" s="32">
        <v>9817</v>
      </c>
      <c r="H2190" s="32">
        <v>12238.33</v>
      </c>
      <c r="I2190" s="32">
        <f>G2190+H2190</f>
        <v>22055.33</v>
      </c>
      <c r="J2190" s="33" t="s">
        <v>1082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>
      <c r="A2191" s="30">
        <v>46213</v>
      </c>
      <c r="B2191" s="30"/>
      <c r="C2191" s="49">
        <v>61521101</v>
      </c>
      <c r="D2191" s="30" t="str">
        <f>IFERROR(VLOOKUP(Tabela5[[#This Row],[PREFIXO ]],Tabela4[#All],2,0),"CENTRO DE CUSTO")</f>
        <v>CAM ROLL ON/OFF VOLVO VM 330</v>
      </c>
      <c r="E2191" s="33" t="s">
        <v>29</v>
      </c>
      <c r="F2191" s="49">
        <v>56038</v>
      </c>
      <c r="G2191" s="32">
        <v>545</v>
      </c>
      <c r="H2191" s="32"/>
      <c r="I2191" s="32">
        <f>G2191+H2191</f>
        <v>545</v>
      </c>
      <c r="J2191" s="33" t="s">
        <v>1082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>
      <c r="A2192" s="30">
        <v>46213</v>
      </c>
      <c r="B2192" s="30"/>
      <c r="C2192" s="49">
        <v>11040013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49">
        <v>55995</v>
      </c>
      <c r="G2192" s="32">
        <v>9524</v>
      </c>
      <c r="H2192" s="32">
        <v>14405.52</v>
      </c>
      <c r="I2192" s="32">
        <f>G2192+H2192</f>
        <v>23929.52</v>
      </c>
      <c r="J2192" s="33" t="s">
        <v>1082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>
      <c r="A2193" s="30">
        <v>46213</v>
      </c>
      <c r="B2193" s="30"/>
      <c r="C2193" s="49">
        <v>61521080</v>
      </c>
      <c r="D2193" s="30" t="str">
        <f>IFERROR(VLOOKUP(Tabela5[[#This Row],[PREFIXO ]],Tabela4[#All],2,0),"CENTRO DE CUSTO")</f>
        <v>CAV MEC EXT PES VOLVO FH 540</v>
      </c>
      <c r="E2193" s="33" t="s">
        <v>29</v>
      </c>
      <c r="F2193" s="49">
        <v>55979</v>
      </c>
      <c r="G2193" s="32">
        <v>5705</v>
      </c>
      <c r="H2193" s="32">
        <v>485.62</v>
      </c>
      <c r="I2193" s="32">
        <f>G2193+H2193</f>
        <v>6190.62</v>
      </c>
      <c r="J2193" s="33" t="s">
        <v>1082</v>
      </c>
      <c r="K2193" s="33"/>
      <c r="L2193" s="33"/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LANÇAMENTO</v>
      </c>
      <c r="R2193" s="33"/>
    </row>
    <row r="2194" spans="1:18">
      <c r="A2194" s="30">
        <v>46213</v>
      </c>
      <c r="B2194" s="30"/>
      <c r="C2194" s="49">
        <v>81521205</v>
      </c>
      <c r="D2194" s="30" t="str">
        <f>IFERROR(VLOOKUP(Tabela5[[#This Row],[PREFIXO ]],Tabela4[#All],2,0),"CENTRO DE CUSTO")</f>
        <v>SEMI REBOQUE PRANCHA FACCHINI SRCT 4E</v>
      </c>
      <c r="E2194" s="33" t="s">
        <v>29</v>
      </c>
      <c r="F2194" s="49">
        <v>55957</v>
      </c>
      <c r="G2194" s="32">
        <v>8306</v>
      </c>
      <c r="H2194" s="32">
        <v>16092.4</v>
      </c>
      <c r="I2194" s="32">
        <f>G2194+H2194</f>
        <v>24398.400000000001</v>
      </c>
      <c r="J2194" s="33" t="s">
        <v>1082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>
      <c r="A2195" s="30">
        <v>46213</v>
      </c>
      <c r="B2195" s="30"/>
      <c r="C2195" s="49">
        <v>61521054</v>
      </c>
      <c r="D2195" s="30" t="str">
        <f>IFERROR(VLOOKUP(Tabela5[[#This Row],[PREFIXO ]],Tabela4[#All],2,0),"CENTRO DE CUSTO")</f>
        <v>CAM CARGA SECA MERC BENZ ATEGO 1719</v>
      </c>
      <c r="E2195" s="33" t="s">
        <v>29</v>
      </c>
      <c r="F2195" s="49">
        <v>55873</v>
      </c>
      <c r="G2195" s="32">
        <v>320</v>
      </c>
      <c r="H2195" s="32">
        <v>286.7</v>
      </c>
      <c r="I2195" s="32">
        <f>G2195+H2195</f>
        <v>606.70000000000005</v>
      </c>
      <c r="J2195" s="33" t="s">
        <v>1082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>
      <c r="A2196" s="30">
        <v>46213</v>
      </c>
      <c r="B2196" s="30"/>
      <c r="C2196" s="49">
        <v>12060001</v>
      </c>
      <c r="D2196" s="30" t="str">
        <f>IFERROR(VLOOKUP(Tabela5[[#This Row],[PREFIXO ]],Tabela4[#All],2,0),"CENTRO DE CUSTO")</f>
        <v>ONIB RODOVIÁRIO MARCOPOLO NEOBUS MEGA</v>
      </c>
      <c r="E2196" s="33" t="s">
        <v>29</v>
      </c>
      <c r="F2196" s="49">
        <v>56028</v>
      </c>
      <c r="G2196" s="32">
        <v>10368</v>
      </c>
      <c r="H2196" s="32">
        <v>27179.14</v>
      </c>
      <c r="I2196" s="32">
        <f>G2196+H2196</f>
        <v>37547.14</v>
      </c>
      <c r="J2196" s="33" t="s">
        <v>1082</v>
      </c>
      <c r="K2196" s="33"/>
      <c r="L2196" s="33"/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LANÇAMENTO</v>
      </c>
      <c r="R2196" s="33"/>
    </row>
  </sheetData>
  <conditionalFormatting sqref="I2187 F2177:F2185 F2188:F1048576 F1:F2173 K2186">
    <cfRule type="duplicateValues" dxfId="48" priority="2"/>
  </conditionalFormatting>
  <conditionalFormatting sqref="N2187 K2177:K2185 K2188:K1048576 K1:K2174">
    <cfRule type="duplicateValues" dxfId="47" priority="24"/>
  </conditionalFormatting>
  <conditionalFormatting sqref="K1123">
    <cfRule type="duplicateValues" dxfId="46" priority="4"/>
  </conditionalFormatting>
  <conditionalFormatting sqref="O2187 L2173:L2174 L2177:L2185 L2188:L1048576 L1:L2171 J2178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177:O2185 O2188:O1048576 O1:O2175 M2175">
    <cfRule type="duplicateValues" dxfId="39" priority="6"/>
  </conditionalFormatting>
  <conditionalFormatting sqref="Q1:Q1956 D2150 Q2151:Q1048576 Q1958:Q2149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196" xr:uid="{6F4CACE2-173B-48B5-97EB-B2E4C7DC2CA8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E3:E2196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Props1.xml><?xml version="1.0" encoding="utf-8"?>
<ds:datastoreItem xmlns:ds="http://schemas.openxmlformats.org/officeDocument/2006/customXml" ds:itemID="{07375F2C-E99D-4C22-B970-60AB247BA032}"/>
</file>

<file path=customXml/itemProps2.xml><?xml version="1.0" encoding="utf-8"?>
<ds:datastoreItem xmlns:ds="http://schemas.openxmlformats.org/officeDocument/2006/customXml" ds:itemID="{AA316DC8-C52E-4222-808B-B7178B28FACD}"/>
</file>

<file path=customXml/itemProps3.xml><?xml version="1.0" encoding="utf-8"?>
<ds:datastoreItem xmlns:ds="http://schemas.openxmlformats.org/officeDocument/2006/customXml" ds:itemID="{2F8A894C-3DA9-4AA2-9B23-F8AE345C44D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2026-07-14T13:20:49Z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